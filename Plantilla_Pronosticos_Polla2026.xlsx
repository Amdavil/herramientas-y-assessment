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a8a5ef2a7a2e100/Documentos/Claude-Practica/"/>
    </mc:Choice>
  </mc:AlternateContent>
  <xr:revisionPtr revIDLastSave="19" documentId="11_E9518773174F02824072F84F1662381F41449857" xr6:coauthVersionLast="47" xr6:coauthVersionMax="47" xr10:uidLastSave="{650205E6-83B3-4950-B251-B0A99B9AF30F}"/>
  <bookViews>
    <workbookView xWindow="-120" yWindow="-120" windowWidth="20730" windowHeight="11040" activeTab="2" xr2:uid="{00000000-000D-0000-FFFF-FFFF00000000}"/>
  </bookViews>
  <sheets>
    <sheet name="Inicio" sheetId="1" r:id="rId1"/>
    <sheet name="Datos" sheetId="2" r:id="rId2"/>
    <sheet name="Fase de Grupos" sheetId="3" r:id="rId3"/>
    <sheet name="Tabla Grupos" sheetId="4" r:id="rId4"/>
    <sheet name="Eliminatorias" sheetId="5" r:id="rId5"/>
    <sheet name="Podio" sheetId="6" r:id="rId6"/>
    <sheet name="Grupos (referencia)"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7" i="4" l="1"/>
  <c r="C87" i="4"/>
  <c r="E87" i="4" s="1"/>
  <c r="B87" i="4"/>
  <c r="D86" i="4"/>
  <c r="C86" i="4"/>
  <c r="E86" i="4" s="1"/>
  <c r="B86" i="4"/>
  <c r="F86" i="4" s="1"/>
  <c r="D85" i="4"/>
  <c r="C85" i="4"/>
  <c r="E85" i="4" s="1"/>
  <c r="F85" i="4" s="1"/>
  <c r="B85" i="4"/>
  <c r="D84" i="4"/>
  <c r="E84" i="4" s="1"/>
  <c r="C84" i="4"/>
  <c r="B84" i="4"/>
  <c r="D81" i="4"/>
  <c r="C81" i="4"/>
  <c r="E81" i="4" s="1"/>
  <c r="B81" i="4"/>
  <c r="D80" i="4"/>
  <c r="C80" i="4"/>
  <c r="E80" i="4" s="1"/>
  <c r="B80" i="4"/>
  <c r="F80" i="4" s="1"/>
  <c r="D79" i="4"/>
  <c r="C79" i="4"/>
  <c r="E79" i="4" s="1"/>
  <c r="F79" i="4" s="1"/>
  <c r="B79" i="4"/>
  <c r="D78" i="4"/>
  <c r="E78" i="4" s="1"/>
  <c r="C78" i="4"/>
  <c r="B78" i="4"/>
  <c r="D75" i="4"/>
  <c r="C75" i="4"/>
  <c r="E75" i="4" s="1"/>
  <c r="B75" i="4"/>
  <c r="D74" i="4"/>
  <c r="C74" i="4"/>
  <c r="E74" i="4" s="1"/>
  <c r="B74" i="4"/>
  <c r="F74" i="4" s="1"/>
  <c r="D73" i="4"/>
  <c r="C73" i="4"/>
  <c r="E73" i="4" s="1"/>
  <c r="F73" i="4" s="1"/>
  <c r="B73" i="4"/>
  <c r="D72" i="4"/>
  <c r="E72" i="4" s="1"/>
  <c r="C72" i="4"/>
  <c r="B72" i="4"/>
  <c r="D69" i="4"/>
  <c r="C69" i="4"/>
  <c r="E69" i="4" s="1"/>
  <c r="B69" i="4"/>
  <c r="D68" i="4"/>
  <c r="C68" i="4"/>
  <c r="E68" i="4" s="1"/>
  <c r="B68" i="4"/>
  <c r="F68" i="4" s="1"/>
  <c r="D67" i="4"/>
  <c r="C67" i="4"/>
  <c r="E67" i="4" s="1"/>
  <c r="F67" i="4" s="1"/>
  <c r="B67" i="4"/>
  <c r="D66" i="4"/>
  <c r="E66" i="4" s="1"/>
  <c r="C66" i="4"/>
  <c r="B66" i="4"/>
  <c r="F66" i="4" s="1"/>
  <c r="D63" i="4"/>
  <c r="C63" i="4"/>
  <c r="E63" i="4" s="1"/>
  <c r="B63" i="4"/>
  <c r="D62" i="4"/>
  <c r="C62" i="4"/>
  <c r="E62" i="4" s="1"/>
  <c r="F62" i="4" s="1"/>
  <c r="B62" i="4"/>
  <c r="D61" i="4"/>
  <c r="C61" i="4"/>
  <c r="E61" i="4" s="1"/>
  <c r="F61" i="4" s="1"/>
  <c r="B61" i="4"/>
  <c r="D60" i="4"/>
  <c r="E60" i="4" s="1"/>
  <c r="C60" i="4"/>
  <c r="B60" i="4"/>
  <c r="F60" i="4" s="1"/>
  <c r="D57" i="4"/>
  <c r="C57" i="4"/>
  <c r="E57" i="4" s="1"/>
  <c r="B57" i="4"/>
  <c r="D56" i="4"/>
  <c r="C56" i="4"/>
  <c r="E56" i="4" s="1"/>
  <c r="F56" i="4" s="1"/>
  <c r="B56" i="4"/>
  <c r="D55" i="4"/>
  <c r="C55" i="4"/>
  <c r="E55" i="4" s="1"/>
  <c r="F55" i="4" s="1"/>
  <c r="B55" i="4"/>
  <c r="D54" i="4"/>
  <c r="E54" i="4" s="1"/>
  <c r="C54" i="4"/>
  <c r="B54" i="4"/>
  <c r="F54" i="4" s="1"/>
  <c r="D51" i="4"/>
  <c r="C51" i="4"/>
  <c r="E51" i="4" s="1"/>
  <c r="B51" i="4"/>
  <c r="D50" i="4"/>
  <c r="C50" i="4"/>
  <c r="E50" i="4" s="1"/>
  <c r="F50" i="4" s="1"/>
  <c r="B50" i="4"/>
  <c r="D49" i="4"/>
  <c r="C49" i="4"/>
  <c r="E49" i="4" s="1"/>
  <c r="F49" i="4" s="1"/>
  <c r="B49" i="4"/>
  <c r="D48" i="4"/>
  <c r="E48" i="4" s="1"/>
  <c r="C48" i="4"/>
  <c r="B48" i="4"/>
  <c r="F48" i="4" s="1"/>
  <c r="D45" i="4"/>
  <c r="C45" i="4"/>
  <c r="E45" i="4" s="1"/>
  <c r="B45" i="4"/>
  <c r="D44" i="4"/>
  <c r="C44" i="4"/>
  <c r="E44" i="4" s="1"/>
  <c r="F44" i="4" s="1"/>
  <c r="B44" i="4"/>
  <c r="D43" i="4"/>
  <c r="C43" i="4"/>
  <c r="E43" i="4" s="1"/>
  <c r="F43" i="4" s="1"/>
  <c r="B43" i="4"/>
  <c r="D42" i="4"/>
  <c r="E42" i="4" s="1"/>
  <c r="C42" i="4"/>
  <c r="B42" i="4"/>
  <c r="F42" i="4" s="1"/>
  <c r="D39" i="4"/>
  <c r="C39" i="4"/>
  <c r="E39" i="4" s="1"/>
  <c r="B39" i="4"/>
  <c r="D38" i="4"/>
  <c r="C38" i="4"/>
  <c r="E38" i="4" s="1"/>
  <c r="F38" i="4" s="1"/>
  <c r="B38" i="4"/>
  <c r="D37" i="4"/>
  <c r="C37" i="4"/>
  <c r="E37" i="4" s="1"/>
  <c r="F37" i="4" s="1"/>
  <c r="B37" i="4"/>
  <c r="D36" i="4"/>
  <c r="E36" i="4" s="1"/>
  <c r="C36" i="4"/>
  <c r="B36" i="4"/>
  <c r="F36" i="4" s="1"/>
  <c r="D33" i="4"/>
  <c r="C33" i="4"/>
  <c r="E33" i="4" s="1"/>
  <c r="B33" i="4"/>
  <c r="D32" i="4"/>
  <c r="C32" i="4"/>
  <c r="E32" i="4" s="1"/>
  <c r="F32" i="4" s="1"/>
  <c r="B32" i="4"/>
  <c r="D31" i="4"/>
  <c r="C31" i="4"/>
  <c r="E31" i="4" s="1"/>
  <c r="F31" i="4" s="1"/>
  <c r="B31" i="4"/>
  <c r="D30" i="4"/>
  <c r="E30" i="4" s="1"/>
  <c r="C30" i="4"/>
  <c r="B30" i="4"/>
  <c r="F30" i="4" s="1"/>
  <c r="D27" i="4"/>
  <c r="C27" i="4"/>
  <c r="B27" i="4"/>
  <c r="D26" i="4"/>
  <c r="C26" i="4"/>
  <c r="B26" i="4"/>
  <c r="D25" i="4"/>
  <c r="C25" i="4"/>
  <c r="B25" i="4"/>
  <c r="D24" i="4"/>
  <c r="C24" i="4"/>
  <c r="B24" i="4"/>
  <c r="D21" i="4"/>
  <c r="C21" i="4"/>
  <c r="B21" i="4"/>
  <c r="D20" i="4"/>
  <c r="C20" i="4"/>
  <c r="B20" i="4"/>
  <c r="D19" i="4"/>
  <c r="C19" i="4"/>
  <c r="B19" i="4"/>
  <c r="D18" i="4"/>
  <c r="C18" i="4"/>
  <c r="B18" i="4"/>
  <c r="E25" i="4" l="1"/>
  <c r="F25" i="4" s="1"/>
  <c r="E24" i="4"/>
  <c r="F24" i="4" s="1"/>
  <c r="E26" i="4"/>
  <c r="F26" i="4" s="1"/>
  <c r="E27" i="4"/>
  <c r="F27" i="4" s="1"/>
  <c r="E20" i="4"/>
  <c r="F20" i="4" s="1"/>
  <c r="E18" i="4"/>
  <c r="F18" i="4" s="1"/>
  <c r="E19" i="4"/>
  <c r="F19" i="4" s="1"/>
  <c r="E21" i="4"/>
  <c r="F78" i="4"/>
  <c r="G78" i="4" s="1"/>
  <c r="F21" i="4"/>
  <c r="F33" i="4"/>
  <c r="G33" i="4" s="1"/>
  <c r="F45" i="4"/>
  <c r="G45" i="4" s="1"/>
  <c r="F57" i="4"/>
  <c r="G57" i="4" s="1"/>
  <c r="F69" i="4"/>
  <c r="G69" i="4" s="1"/>
  <c r="F81" i="4"/>
  <c r="G44" i="4"/>
  <c r="G30" i="4"/>
  <c r="G42" i="4"/>
  <c r="G54" i="4"/>
  <c r="G66" i="4"/>
  <c r="G79" i="4"/>
  <c r="F84" i="4"/>
  <c r="G85" i="4" s="1"/>
  <c r="G67" i="4"/>
  <c r="F72" i="4"/>
  <c r="G74" i="4" s="1"/>
  <c r="F39" i="4"/>
  <c r="G39" i="4" s="1"/>
  <c r="F51" i="4"/>
  <c r="G51" i="4" s="1"/>
  <c r="F63" i="4"/>
  <c r="G63" i="4" s="1"/>
  <c r="F75" i="4"/>
  <c r="G75" i="4" s="1"/>
  <c r="F87" i="4"/>
  <c r="G87" i="4" s="1"/>
  <c r="G38" i="4"/>
  <c r="G31" i="4"/>
  <c r="G36" i="4"/>
  <c r="G43" i="4"/>
  <c r="G48" i="4"/>
  <c r="G55" i="4"/>
  <c r="G68" i="4"/>
  <c r="G80" i="4"/>
  <c r="G56" i="4"/>
  <c r="G27" i="4" l="1"/>
  <c r="G24" i="4"/>
  <c r="G18" i="4"/>
  <c r="G19" i="4"/>
  <c r="G21" i="4"/>
  <c r="G20" i="4"/>
  <c r="B4" i="4"/>
  <c r="C16" i="5" s="1"/>
  <c r="G11" i="4"/>
  <c r="F11" i="4"/>
  <c r="D11" i="4"/>
  <c r="C11" i="4"/>
  <c r="D9" i="5" s="1"/>
  <c r="B11" i="4"/>
  <c r="C8" i="5" s="1"/>
  <c r="E11" i="4"/>
  <c r="G26" i="4"/>
  <c r="G61" i="4"/>
  <c r="B9" i="4"/>
  <c r="C13" i="5" s="1"/>
  <c r="G9" i="4"/>
  <c r="E9" i="4"/>
  <c r="F9" i="4"/>
  <c r="D9" i="4"/>
  <c r="C9" i="4"/>
  <c r="D19" i="5" s="1"/>
  <c r="G81" i="4"/>
  <c r="G37" i="4"/>
  <c r="G6" i="4" s="1"/>
  <c r="G72" i="4"/>
  <c r="G60" i="4"/>
  <c r="G49" i="4"/>
  <c r="G25" i="4"/>
  <c r="F4" i="4" s="1"/>
  <c r="G84" i="4"/>
  <c r="D7" i="4"/>
  <c r="C7" i="4"/>
  <c r="C9" i="5" s="1"/>
  <c r="B7" i="4"/>
  <c r="C5" i="5" s="1"/>
  <c r="G7" i="4"/>
  <c r="F7" i="4"/>
  <c r="E7" i="4"/>
  <c r="G32" i="4"/>
  <c r="G5" i="4" s="1"/>
  <c r="C5" i="4"/>
  <c r="D6" i="5" s="1"/>
  <c r="E5" i="4"/>
  <c r="D5" i="4"/>
  <c r="B5" i="4"/>
  <c r="C7" i="5" s="1"/>
  <c r="F5" i="4"/>
  <c r="G50" i="4"/>
  <c r="G62" i="4"/>
  <c r="B3" i="4"/>
  <c r="C10" i="5" s="1"/>
  <c r="F13" i="4"/>
  <c r="E13" i="4"/>
  <c r="D13" i="4"/>
  <c r="C13" i="4"/>
  <c r="C14" i="5" s="1"/>
  <c r="B13" i="4"/>
  <c r="C18" i="5" s="1"/>
  <c r="G13" i="4"/>
  <c r="C8" i="4"/>
  <c r="D7" i="5" s="1"/>
  <c r="B8" i="4"/>
  <c r="C6" i="5" s="1"/>
  <c r="F8" i="4"/>
  <c r="G8" i="4"/>
  <c r="E8" i="4"/>
  <c r="H8" i="4" s="1"/>
  <c r="D8" i="4"/>
  <c r="E6" i="4"/>
  <c r="D6" i="4"/>
  <c r="B6" i="4"/>
  <c r="C12" i="5" s="1"/>
  <c r="C6" i="4"/>
  <c r="C19" i="5" s="1"/>
  <c r="F6" i="4"/>
  <c r="G86" i="4"/>
  <c r="G73" i="4"/>
  <c r="D3" i="4" l="1"/>
  <c r="E3" i="4"/>
  <c r="C3" i="4"/>
  <c r="C4" i="5" s="1"/>
  <c r="G3" i="4"/>
  <c r="F3" i="4"/>
  <c r="I13" i="5"/>
  <c r="H13" i="5"/>
  <c r="D25" i="5" s="1"/>
  <c r="I10" i="5"/>
  <c r="H10" i="5"/>
  <c r="C23" i="5" s="1"/>
  <c r="G12" i="4"/>
  <c r="F12" i="4"/>
  <c r="E12" i="4"/>
  <c r="H12" i="4" s="1"/>
  <c r="C12" i="4"/>
  <c r="D15" i="5" s="1"/>
  <c r="B12" i="4"/>
  <c r="C17" i="5" s="1"/>
  <c r="D12" i="4"/>
  <c r="I7" i="5"/>
  <c r="H7" i="5"/>
  <c r="C22" i="5" s="1"/>
  <c r="I5" i="5"/>
  <c r="H5" i="5"/>
  <c r="C20" i="5" s="1"/>
  <c r="G4" i="4"/>
  <c r="I16" i="5"/>
  <c r="H16" i="5"/>
  <c r="C27" i="5" s="1"/>
  <c r="H11" i="4"/>
  <c r="C4" i="4"/>
  <c r="D4" i="5" s="1"/>
  <c r="I12" i="5"/>
  <c r="H12" i="5"/>
  <c r="C25" i="5" s="1"/>
  <c r="H18" i="5"/>
  <c r="D27" i="5" s="1"/>
  <c r="I18" i="5"/>
  <c r="H14" i="5"/>
  <c r="C24" i="5" s="1"/>
  <c r="H5" i="4"/>
  <c r="E14" i="4"/>
  <c r="H14" i="4" s="1"/>
  <c r="D14" i="4"/>
  <c r="C14" i="4"/>
  <c r="D14" i="5" s="1"/>
  <c r="I14" i="5" s="1"/>
  <c r="B14" i="4"/>
  <c r="C11" i="5" s="1"/>
  <c r="G14" i="4"/>
  <c r="F14" i="4"/>
  <c r="I8" i="5"/>
  <c r="H8" i="5"/>
  <c r="D20" i="5" s="1"/>
  <c r="D4" i="4"/>
  <c r="E4" i="4"/>
  <c r="H4" i="4" s="1"/>
  <c r="H6" i="4"/>
  <c r="I9" i="5"/>
  <c r="H9" i="5"/>
  <c r="D22" i="5" s="1"/>
  <c r="H13" i="4"/>
  <c r="H7" i="4"/>
  <c r="H9" i="4"/>
  <c r="I19" i="5"/>
  <c r="H19" i="5"/>
  <c r="D26" i="5" s="1"/>
  <c r="I6" i="5"/>
  <c r="H6" i="5"/>
  <c r="D21" i="5" s="1"/>
  <c r="F10" i="4"/>
  <c r="G10" i="4"/>
  <c r="E10" i="4"/>
  <c r="C10" i="4"/>
  <c r="D17" i="5" s="1"/>
  <c r="B10" i="4"/>
  <c r="C15" i="5" s="1"/>
  <c r="D10" i="4"/>
  <c r="H4" i="5" l="1"/>
  <c r="C21" i="5" s="1"/>
  <c r="I21" i="5" s="1"/>
  <c r="H3" i="4"/>
  <c r="I8" i="4" s="1"/>
  <c r="J8" i="4" s="1"/>
  <c r="I4" i="5"/>
  <c r="I15" i="5"/>
  <c r="H15" i="5"/>
  <c r="D24" i="5" s="1"/>
  <c r="I24" i="5" s="1"/>
  <c r="H11" i="5"/>
  <c r="D23" i="5" s="1"/>
  <c r="H23" i="5" s="1"/>
  <c r="D30" i="5" s="1"/>
  <c r="I11" i="5"/>
  <c r="H20" i="5"/>
  <c r="C28" i="5" s="1"/>
  <c r="I20" i="5"/>
  <c r="H10" i="4"/>
  <c r="I25" i="5"/>
  <c r="H25" i="5"/>
  <c r="D29" i="5" s="1"/>
  <c r="H22" i="5"/>
  <c r="C30" i="5" s="1"/>
  <c r="I22" i="5"/>
  <c r="H24" i="5"/>
  <c r="C29" i="5" s="1"/>
  <c r="I27" i="5"/>
  <c r="H27" i="5"/>
  <c r="D31" i="5" s="1"/>
  <c r="I17" i="5"/>
  <c r="H17" i="5"/>
  <c r="C26" i="5" s="1"/>
  <c r="H21" i="5" l="1"/>
  <c r="D28" i="5" s="1"/>
  <c r="I28" i="5" s="1"/>
  <c r="I5" i="4"/>
  <c r="J5" i="4" s="1"/>
  <c r="I14" i="4"/>
  <c r="J14" i="4" s="1"/>
  <c r="I10" i="4"/>
  <c r="J10" i="4" s="1"/>
  <c r="I11" i="4"/>
  <c r="J11" i="4" s="1"/>
  <c r="H26" i="5"/>
  <c r="C31" i="5" s="1"/>
  <c r="I26" i="5"/>
  <c r="I3" i="4"/>
  <c r="J3" i="4" s="1"/>
  <c r="I6" i="4"/>
  <c r="J6" i="4" s="1"/>
  <c r="I7" i="4"/>
  <c r="J7" i="4" s="1"/>
  <c r="H28" i="5"/>
  <c r="C32" i="5" s="1"/>
  <c r="I9" i="4"/>
  <c r="J9" i="4" s="1"/>
  <c r="I4" i="4"/>
  <c r="J4" i="4" s="1"/>
  <c r="I12" i="4"/>
  <c r="J12" i="4" s="1"/>
  <c r="H30" i="5"/>
  <c r="C33" i="5" s="1"/>
  <c r="I30" i="5"/>
  <c r="I23" i="5"/>
  <c r="I29" i="5"/>
  <c r="H29" i="5"/>
  <c r="D32" i="5" s="1"/>
  <c r="I13" i="4"/>
  <c r="J13" i="4" s="1"/>
  <c r="H32" i="5" l="1"/>
  <c r="C35" i="5" s="1"/>
  <c r="I32" i="5"/>
  <c r="C34" i="5" s="1"/>
  <c r="I31" i="5"/>
  <c r="H31" i="5"/>
  <c r="D33" i="5" s="1"/>
  <c r="H33" i="5" s="1"/>
  <c r="D35" i="5" s="1"/>
  <c r="I35" i="5" l="1"/>
  <c r="B4" i="6" s="1"/>
  <c r="H35" i="5"/>
  <c r="B3" i="6" s="1"/>
  <c r="I33" i="5"/>
  <c r="D34" i="5" s="1"/>
  <c r="I34" i="5" s="1"/>
  <c r="H34" i="5" l="1"/>
  <c r="B5"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Polla 2026</author>
  </authors>
  <commentList>
    <comment ref="D5" authorId="0" shapeId="0" xr:uid="{00000000-0006-0000-0400-000001000000}">
      <text>
        <r>
          <rPr>
            <sz val="11"/>
            <color theme="1"/>
            <rFont val="Calibri"/>
            <family val="2"/>
            <scheme val="minor"/>
          </rPr>
          <t>Escribe el nombre del Mejor 3° proveniente de uno de estos grupos (revisa "Tabla Grupos", columna ¿Clasifica?): A, B, C, D, F</t>
        </r>
      </text>
    </comment>
    <comment ref="D8" authorId="0" shapeId="0" xr:uid="{00000000-0006-0000-0400-000002000000}">
      <text>
        <r>
          <rPr>
            <sz val="11"/>
            <color theme="1"/>
            <rFont val="Calibri"/>
            <family val="2"/>
            <scheme val="minor"/>
          </rPr>
          <t>Escribe el nombre del Mejor 3° proveniente de uno de estos grupos (revisa "Tabla Grupos", columna ¿Clasifica?): C, D, F, G, H</t>
        </r>
      </text>
    </comment>
    <comment ref="D10" authorId="0" shapeId="0" xr:uid="{00000000-0006-0000-0400-000003000000}">
      <text>
        <r>
          <rPr>
            <sz val="11"/>
            <color theme="1"/>
            <rFont val="Calibri"/>
            <family val="2"/>
            <scheme val="minor"/>
          </rPr>
          <t>Escribe el nombre del Mejor 3° proveniente de uno de estos grupos (revisa "Tabla Grupos", columna ¿Clasifica?): C, E, F, H, I</t>
        </r>
      </text>
    </comment>
    <comment ref="D11" authorId="0" shapeId="0" xr:uid="{00000000-0006-0000-0400-000004000000}">
      <text>
        <r>
          <rPr>
            <sz val="11"/>
            <color theme="1"/>
            <rFont val="Calibri"/>
            <family val="2"/>
            <scheme val="minor"/>
          </rPr>
          <t>Escribe el nombre del Mejor 3° proveniente de uno de estos grupos (revisa "Tabla Grupos", columna ¿Clasifica?): E, H, I, J, K</t>
        </r>
      </text>
    </comment>
    <comment ref="D12" authorId="0" shapeId="0" xr:uid="{00000000-0006-0000-0400-000005000000}">
      <text>
        <r>
          <rPr>
            <sz val="11"/>
            <color theme="1"/>
            <rFont val="Calibri"/>
            <family val="2"/>
            <scheme val="minor"/>
          </rPr>
          <t>Escribe el nombre del Mejor 3° proveniente de uno de estos grupos (revisa "Tabla Grupos", columna ¿Clasifica?): B, E, F, I, J</t>
        </r>
      </text>
    </comment>
    <comment ref="D13" authorId="0" shapeId="0" xr:uid="{00000000-0006-0000-0400-000006000000}">
      <text>
        <r>
          <rPr>
            <sz val="11"/>
            <color theme="1"/>
            <rFont val="Calibri"/>
            <family val="2"/>
            <scheme val="minor"/>
          </rPr>
          <t>Escribe el nombre del Mejor 3° proveniente de uno de estos grupos (revisa "Tabla Grupos", columna ¿Clasifica?): A, E, H, I, J</t>
        </r>
      </text>
    </comment>
    <comment ref="D16" authorId="0" shapeId="0" xr:uid="{00000000-0006-0000-0400-000007000000}">
      <text>
        <r>
          <rPr>
            <sz val="11"/>
            <color theme="1"/>
            <rFont val="Calibri"/>
            <family val="2"/>
            <scheme val="minor"/>
          </rPr>
          <t>Escribe el nombre del Mejor 3° proveniente de uno de estos grupos (revisa "Tabla Grupos", columna ¿Clasifica?): E, F, G, I, J</t>
        </r>
      </text>
    </comment>
    <comment ref="D18" authorId="0" shapeId="0" xr:uid="{00000000-0006-0000-0400-000008000000}">
      <text>
        <r>
          <rPr>
            <sz val="11"/>
            <color theme="1"/>
            <rFont val="Calibri"/>
            <family val="2"/>
            <scheme val="minor"/>
          </rPr>
          <t>Escribe el nombre del Mejor 3° proveniente de uno de estos grupos (revisa "Tabla Grupos", columna ¿Clasifica?): D, E, I, J, L</t>
        </r>
      </text>
    </comment>
  </commentList>
</comments>
</file>

<file path=xl/sharedStrings.xml><?xml version="1.0" encoding="utf-8"?>
<sst xmlns="http://schemas.openxmlformats.org/spreadsheetml/2006/main" count="528" uniqueCount="156">
  <si>
    <t>⚽ LOS PIBES DE LA 12</t>
  </si>
  <si>
    <t>Polla Mundialista 2026 — Plantilla de Pronósticos</t>
  </si>
  <si>
    <t>📝</t>
  </si>
  <si>
    <t>Datos</t>
  </si>
  <si>
    <t>🏟️</t>
  </si>
  <si>
    <t>Fase de Grupos</t>
  </si>
  <si>
    <t>Pronostica el marcador de los 72 partidos</t>
  </si>
  <si>
    <t>📊</t>
  </si>
  <si>
    <t>Tabla Grupos</t>
  </si>
  <si>
    <t>Se calcula sola: 1°, 2° y mejores terceros</t>
  </si>
  <si>
    <t>🏆</t>
  </si>
  <si>
    <t>Eliminatorias</t>
  </si>
  <si>
    <t>Bracket dinámico hasta la final</t>
  </si>
  <si>
    <t>🥇</t>
  </si>
  <si>
    <t>Podio</t>
  </si>
  <si>
    <t>Tu Campeón, Subcampeón y Tercer puesto</t>
  </si>
  <si>
    <t>📋</t>
  </si>
  <si>
    <t>Grupos (referencia)</t>
  </si>
  <si>
    <t>Equipos de cada grupo</t>
  </si>
  <si>
    <t>⏰ Recuerda enviar tu archivo antes del 11 de junio de 2026, 1:00 p.m. (hora Colombia).
Haz clic en el nombre de cada sección para ir directo a esa pestaña. Solo escribe en las celdas con fondo amarillo y letra azul — el resto se calcula solo.</t>
  </si>
  <si>
    <t>⚽ Polla Mundialista 2026 — Los Pibes de la 12</t>
  </si>
  <si>
    <t>Nombre completo:</t>
  </si>
  <si>
    <t>Instrucciones:</t>
  </si>
  <si>
    <t>1. Llena la pestaña "Fase de Grupos" con el marcador exacto que crees para cada partido (ej. 2 - 1).</t>
  </si>
  <si>
    <t>2. La pestaña "Tabla Grupos" calcula SOLA quién queda 1°, 2° y 3° de cada grupo, y los 8 mejores terceros.</t>
  </si>
  <si>
    <t>3. En "Eliminatorias", los cruces que dependen de 1° y 2° lugar se llenan SOLOS. Para los cruces que dependen</t>
  </si>
  <si>
    <t xml:space="preserve">   de "Mejor 3°" debes escribir tú el nombre del equipo (la app te muestra los candidatos clasificados).</t>
  </si>
  <si>
    <t>4. Para cada partido eliminatorio escribe el marcador que imaginas; si crees que va a penales, escribe el</t>
  </si>
  <si>
    <t xml:space="preserve">   ganador (1 o 2) en la columna "Penales". El ganador de cada cruce alimenta automáticamente la siguiente ronda.</t>
  </si>
  <si>
    <t>5. Al final, "Eliminatorias" calcula solo el Campeón, Subcampeón y Tercer puesto.</t>
  </si>
  <si>
    <t>6. Guarda el archivo con tu nombre, ej: Pronosticos_JuanPerez.xlsx</t>
  </si>
  <si>
    <t>7. Envíalo por correo o WhatsApp al administrador antes del 11 de junio de 2026, 1:00 p.m. (hora Colombia).</t>
  </si>
  <si>
    <t>Nota sobre desempates: si dos o más equipos de un grupo quedan con los mismos puntos, esta plantilla los</t>
  </si>
  <si>
    <t>desempata por diferencia de gol y luego goles a favor (igual que la app). No replica el desempate "head-to-head"</t>
  </si>
  <si>
    <t>completo de FIFA, así que en empates muy cerrados revisa manualmente si el orden te parece correcto.</t>
  </si>
  <si>
    <t>🏟️ Fase de Grupos — Pronóstico de marcador (72 partidos)</t>
  </si>
  <si>
    <t>#</t>
  </si>
  <si>
    <t>Grupo</t>
  </si>
  <si>
    <t>Equipo Local</t>
  </si>
  <si>
    <t>Goles Local</t>
  </si>
  <si>
    <t>Goles Visitante</t>
  </si>
  <si>
    <t>Equipo Visitante</t>
  </si>
  <si>
    <t>A</t>
  </si>
  <si>
    <t>México</t>
  </si>
  <si>
    <t>Sudáfrica</t>
  </si>
  <si>
    <t>Corea del Sur</t>
  </si>
  <si>
    <t>Rep. Checa</t>
  </si>
  <si>
    <t>B</t>
  </si>
  <si>
    <t>Canadá</t>
  </si>
  <si>
    <t>Bosnia y Herzegovina</t>
  </si>
  <si>
    <t>Qatar</t>
  </si>
  <si>
    <t>Suiza</t>
  </si>
  <si>
    <t>C</t>
  </si>
  <si>
    <t>Brasil</t>
  </si>
  <si>
    <t>Marruecos</t>
  </si>
  <si>
    <t>Haití</t>
  </si>
  <si>
    <t>Escocia</t>
  </si>
  <si>
    <t>D</t>
  </si>
  <si>
    <t>Estados Unidos</t>
  </si>
  <si>
    <t>Paraguay</t>
  </si>
  <si>
    <t>Australia</t>
  </si>
  <si>
    <t>Turquía</t>
  </si>
  <si>
    <t>E</t>
  </si>
  <si>
    <t>Alemania</t>
  </si>
  <si>
    <t>Curazao</t>
  </si>
  <si>
    <t>Costa de Marfil</t>
  </si>
  <si>
    <t>Ecuador</t>
  </si>
  <si>
    <t>F</t>
  </si>
  <si>
    <t>Países Bajos</t>
  </si>
  <si>
    <t>Japón</t>
  </si>
  <si>
    <t>Suecia</t>
  </si>
  <si>
    <t>Túnez</t>
  </si>
  <si>
    <t>G</t>
  </si>
  <si>
    <t>Bélgica</t>
  </si>
  <si>
    <t>Egipto</t>
  </si>
  <si>
    <t>Irán</t>
  </si>
  <si>
    <t>Nueva Zelanda</t>
  </si>
  <si>
    <t>H</t>
  </si>
  <si>
    <t>España</t>
  </si>
  <si>
    <t>Cabo Verde</t>
  </si>
  <si>
    <t>Arabia Saudita</t>
  </si>
  <si>
    <t>Uruguay</t>
  </si>
  <si>
    <t>I</t>
  </si>
  <si>
    <t>Francia</t>
  </si>
  <si>
    <t>Senegal</t>
  </si>
  <si>
    <t>Irak</t>
  </si>
  <si>
    <t>Noruega</t>
  </si>
  <si>
    <t>J</t>
  </si>
  <si>
    <t>Argentina</t>
  </si>
  <si>
    <t>Argelia</t>
  </si>
  <si>
    <t>Austria</t>
  </si>
  <si>
    <t>Jordania</t>
  </si>
  <si>
    <t>K</t>
  </si>
  <si>
    <t>Portugal</t>
  </si>
  <si>
    <t>Rep. Dem. del Congo</t>
  </si>
  <si>
    <t>Uzbekistán</t>
  </si>
  <si>
    <t>Colombia</t>
  </si>
  <si>
    <t>L</t>
  </si>
  <si>
    <t>Inglaterra</t>
  </si>
  <si>
    <t>Croacia</t>
  </si>
  <si>
    <t>Ghana</t>
  </si>
  <si>
    <t>Panamá</t>
  </si>
  <si>
    <t>📊 Tabla de posiciones (se calcula sola con tus marcadores)</t>
  </si>
  <si>
    <t>1°</t>
  </si>
  <si>
    <t>2°</t>
  </si>
  <si>
    <t>3°</t>
  </si>
  <si>
    <t>Pts (3°)</t>
  </si>
  <si>
    <t>DG (3°)</t>
  </si>
  <si>
    <t>GF (3°)</t>
  </si>
  <si>
    <t>Índice (3°)</t>
  </si>
  <si>
    <t>Pos. mejores 3°</t>
  </si>
  <si>
    <t>¿Clasifica?</t>
  </si>
  <si>
    <t>Grupo A</t>
  </si>
  <si>
    <t>Grupo B</t>
  </si>
  <si>
    <t>Grupo C</t>
  </si>
  <si>
    <t>Grupo D</t>
  </si>
  <si>
    <t>Grupo E</t>
  </si>
  <si>
    <t>Grupo F</t>
  </si>
  <si>
    <t>Grupo G</t>
  </si>
  <si>
    <t>Grupo H</t>
  </si>
  <si>
    <t>Grupo I</t>
  </si>
  <si>
    <t>Grupo J</t>
  </si>
  <si>
    <t>Grupo K</t>
  </si>
  <si>
    <t>Grupo L</t>
  </si>
  <si>
    <t>Pts</t>
  </si>
  <si>
    <t>GF</t>
  </si>
  <si>
    <t>GC</t>
  </si>
  <si>
    <t>DG</t>
  </si>
  <si>
    <t>Índice</t>
  </si>
  <si>
    <t>Pos.</t>
  </si>
  <si>
    <t>🏆 Fase Eliminatoria — Bracket oficial FIFA (32 partidos)</t>
  </si>
  <si>
    <t>Los equipos de 1° y 2° lugar se llenan SOLOS desde "Tabla Grupos". Para los cruces "Mejor 3°", escribe TÚ el nombre del equipo (revisa la columna "¿Clasifica?" en Tabla Grupos para ver cuáles de los 12 terceros pasan, y elige uno de los grupos indicados entre paréntesis). Llena Goles 1 / Goles 2; si terminan empatados, escribe 1 ó 2 en "Penales" para indicar el ganador.</t>
  </si>
  <si>
    <t>Partido #</t>
  </si>
  <si>
    <t>Fase</t>
  </si>
  <si>
    <t>Equipo 1</t>
  </si>
  <si>
    <t>Equipo 2</t>
  </si>
  <si>
    <t>Goles 1</t>
  </si>
  <si>
    <t>Goles 2</t>
  </si>
  <si>
    <t>Penales
(1 ó 2)</t>
  </si>
  <si>
    <t>Ganador</t>
  </si>
  <si>
    <t>Perdedor</t>
  </si>
  <si>
    <t>Dieciseisavos</t>
  </si>
  <si>
    <t>Octavos</t>
  </si>
  <si>
    <t>Cuartos</t>
  </si>
  <si>
    <t>Semifinal</t>
  </si>
  <si>
    <t>Tercer puesto</t>
  </si>
  <si>
    <t>Final</t>
  </si>
  <si>
    <t>🏆 Podio Final (calculado a partir de Eliminatorias)</t>
  </si>
  <si>
    <t>🥇 Campeón</t>
  </si>
  <si>
    <t>🥈 Subcampeón</t>
  </si>
  <si>
    <t>🥉 Tercer puesto</t>
  </si>
  <si>
    <t>Esta sección se llena sola cuando completes toda la pestaña "Eliminatorias". Si ves "Pendiente", significa que aún faltan marcadores por llenar en alguno de los partidos del camino hacia la final.</t>
  </si>
  <si>
    <t>📋 Equipos por grupo (referencia)</t>
  </si>
  <si>
    <t>Equipo 3</t>
  </si>
  <si>
    <t>Equipo 4</t>
  </si>
  <si>
    <t>Daniel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</si>
</sst>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26"/>
      <color rgb="FFFFFFFF"/>
      <name val="Arial"/>
    </font>
    <font>
      <b/>
      <sz val="13"/>
      <color rgb="FF1B2A4A"/>
      <name val="Arial"/>
    </font>
    <font>
      <sz val="20"/>
      <name val="Calibri"/>
    </font>
    <font>
      <b/>
      <sz val="12"/>
      <color rgb="FF1B2A4A"/>
      <name val="Arial"/>
    </font>
    <font>
      <i/>
      <sz val="10"/>
      <color rgb="FF555555"/>
      <name val="Arial"/>
    </font>
    <font>
      <sz val="10"/>
      <color rgb="FF1B2A4A"/>
      <name val="Arial"/>
    </font>
    <font>
      <b/>
      <sz val="14"/>
      <color rgb="FFFFFFFF"/>
      <name val="Arial"/>
    </font>
    <font>
      <b/>
      <sz val="10"/>
      <color rgb="FF000000"/>
      <name val="Arial"/>
    </font>
    <font>
      <sz val="10"/>
      <color rgb="FF0000FF"/>
      <name val="Arial"/>
    </font>
    <font>
      <sz val="10"/>
      <name val="Arial"/>
    </font>
    <font>
      <b/>
      <sz val="8"/>
      <color rgb="FFFFFFFF"/>
      <name val="Arial"/>
    </font>
    <font>
      <sz val="10"/>
      <color rgb="FF000000"/>
      <name val="Arial"/>
    </font>
    <font>
      <b/>
      <sz val="10"/>
      <color rgb="FF2E7D32"/>
      <name val="Arial"/>
    </font>
    <font>
      <i/>
      <sz val="9"/>
      <name val="Arial"/>
    </font>
    <font>
      <b/>
      <sz val="11"/>
      <color rgb="FF2E7D32"/>
      <name val="Arial"/>
    </font>
  </fonts>
  <fills count="7">
    <fill>
      <patternFill patternType="none"/>
    </fill>
    <fill>
      <patternFill patternType="gray125"/>
    </fill>
    <fill>
      <patternFill patternType="solid">
        <fgColor rgb="FF1B2A4A"/>
      </patternFill>
    </fill>
    <fill>
      <patternFill patternType="solid">
        <fgColor rgb="FFFFC107"/>
      </patternFill>
    </fill>
    <fill>
      <patternFill patternType="solid">
        <fgColor rgb="FFE8F5E9"/>
      </patternFill>
    </fill>
    <fill>
      <patternFill patternType="solid">
        <fgColor rgb="FFFFF8E1"/>
      </patternFill>
    </fill>
    <fill>
      <patternFill patternType="solid">
        <f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6">
    <xf numFmtId="0" fontId="0" fillId="0" borderId="0" xfId="0"/>
    <xf numFmtId="0" fontId="8" fillId="0" borderId="0" xfId="0" applyFont="1"/>
    <xf numFmtId="0" fontId="8" fillId="3"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wrapText="1"/>
    </xf>
    <xf numFmtId="0" fontId="9" fillId="5" borderId="1" xfId="0" applyFont="1" applyFill="1" applyBorder="1" applyAlignment="1">
      <alignment horizontal="center" vertical="center"/>
    </xf>
    <xf numFmtId="0" fontId="10" fillId="6" borderId="1" xfId="0" applyFont="1" applyFill="1" applyBorder="1" applyAlignment="1">
      <alignment horizontal="center" vertical="center"/>
    </xf>
    <xf numFmtId="0" fontId="10" fillId="6" borderId="1" xfId="0" applyFont="1" applyFill="1" applyBorder="1" applyAlignment="1">
      <alignment horizontal="left" vertical="center" wrapText="1"/>
    </xf>
    <xf numFmtId="0" fontId="8" fillId="0" borderId="1" xfId="0" applyFont="1" applyBorder="1" applyAlignment="1">
      <alignment horizontal="center" vertical="center"/>
    </xf>
    <xf numFmtId="0" fontId="13" fillId="0" borderId="1" xfId="0" applyFont="1" applyBorder="1" applyAlignment="1">
      <alignment horizontal="center" vertical="center"/>
    </xf>
    <xf numFmtId="0" fontId="8" fillId="6" borderId="1" xfId="0" applyFont="1" applyFill="1" applyBorder="1" applyAlignment="1">
      <alignment horizontal="center" vertical="center"/>
    </xf>
    <xf numFmtId="0" fontId="13" fillId="6" borderId="1" xfId="0" applyFont="1" applyFill="1" applyBorder="1" applyAlignment="1">
      <alignment horizontal="center" vertical="center"/>
    </xf>
    <xf numFmtId="0" fontId="11" fillId="3" borderId="1" xfId="0" applyFont="1" applyFill="1" applyBorder="1" applyAlignment="1">
      <alignment horizontal="center" vertical="center"/>
    </xf>
    <xf numFmtId="0" fontId="12" fillId="0" borderId="1" xfId="0" applyFont="1" applyBorder="1" applyAlignment="1">
      <alignment horizontal="center" vertical="center"/>
    </xf>
    <xf numFmtId="0" fontId="12" fillId="6"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0" fillId="0" borderId="1" xfId="0" applyBorder="1" applyAlignment="1">
      <alignment horizontal="center" vertical="center"/>
    </xf>
    <xf numFmtId="0" fontId="13" fillId="0" borderId="1" xfId="0" applyFont="1" applyBorder="1" applyAlignment="1">
      <alignment horizontal="left" vertical="center" wrapText="1"/>
    </xf>
    <xf numFmtId="0" fontId="13" fillId="4" borderId="1" xfId="0" applyFont="1" applyFill="1" applyBorder="1" applyAlignment="1">
      <alignment horizontal="center" vertical="center"/>
    </xf>
    <xf numFmtId="0" fontId="0" fillId="6" borderId="1" xfId="0" applyFill="1" applyBorder="1" applyAlignment="1">
      <alignment horizontal="center" vertical="center"/>
    </xf>
    <xf numFmtId="0" fontId="13" fillId="6"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8" fillId="0" borderId="1" xfId="0" applyFont="1" applyBorder="1"/>
    <xf numFmtId="0" fontId="15"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0" fillId="4" borderId="1" xfId="0" applyFill="1" applyBorder="1"/>
    <xf numFmtId="0" fontId="1" fillId="2" borderId="0" xfId="0" applyFont="1" applyFill="1" applyAlignment="1">
      <alignment horizontal="center" vertical="center"/>
    </xf>
    <xf numFmtId="0" fontId="0" fillId="0" borderId="0" xfId="0"/>
    <xf numFmtId="0" fontId="5" fillId="4" borderId="1" xfId="0" applyFont="1" applyFill="1" applyBorder="1" applyAlignment="1">
      <alignment horizontal="left" vertical="center" wrapText="1"/>
    </xf>
    <xf numFmtId="0" fontId="4" fillId="4" borderId="1" xfId="0" applyFont="1" applyFill="1" applyBorder="1" applyAlignment="1">
      <alignment horizontal="left" vertical="center"/>
    </xf>
    <xf numFmtId="0" fontId="2" fillId="3" borderId="0" xfId="0" applyFont="1" applyFill="1" applyAlignment="1">
      <alignment horizontal="center" vertical="center"/>
    </xf>
    <xf numFmtId="0" fontId="6" fillId="5" borderId="1" xfId="0" applyFont="1" applyFill="1" applyBorder="1" applyAlignment="1">
      <alignment horizontal="left" vertical="center" wrapText="1"/>
    </xf>
    <xf numFmtId="0" fontId="7" fillId="2" borderId="0" xfId="0" applyFont="1" applyFill="1" applyAlignment="1">
      <alignment horizontal="center" vertical="center"/>
    </xf>
    <xf numFmtId="0" fontId="10" fillId="0" borderId="0" xfId="0" applyFont="1" applyAlignment="1">
      <alignment horizontal="left" vertical="center" wrapText="1"/>
    </xf>
    <xf numFmtId="0" fontId="9" fillId="5" borderId="1" xfId="0" applyFont="1" applyFill="1" applyBorder="1"/>
    <xf numFmtId="0" fontId="14" fillId="0" borderId="0" xfId="0" applyFont="1" applyAlignment="1">
      <alignment horizontal="left" vertical="center" wrapText="1"/>
    </xf>
  </cellXfs>
  <cellStyles count="1">
    <cellStyle name="Normal" xfId="0" builtinId="0"/>
  </cellStyles>
  <dxfs count="2">
    <dxf>
      <font>
        <sz val="9"/>
        <color rgb="FFBDBDBD"/>
        <name val="Arial"/>
      </font>
      <fill>
        <patternFill patternType="solid">
          <fgColor rgb="FFF5F5F5"/>
        </patternFill>
      </fill>
    </dxf>
    <dxf>
      <font>
        <b/>
        <sz val="10"/>
        <color rgb="FFE65100"/>
        <name val="Arial"/>
      </font>
      <fill>
        <patternFill patternType="solid">
          <fgColor rgb="FFFFF59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107"/>
  </sheetPr>
  <dimension ref="A1:H22"/>
  <sheetViews>
    <sheetView showGridLines="0" workbookViewId="0">
      <selection activeCell="B8" sqref="B8:D9"/>
    </sheetView>
  </sheetViews>
  <sheetFormatPr baseColWidth="10" defaultColWidth="9.140625" defaultRowHeight="15" x14ac:dyDescent="0.25"/>
  <cols>
    <col min="1" max="1" width="6" customWidth="1"/>
    <col min="2" max="4" width="12" customWidth="1"/>
    <col min="5" max="8" width="13" customWidth="1"/>
  </cols>
  <sheetData>
    <row r="1" spans="1:8" x14ac:dyDescent="0.25">
      <c r="A1" s="26" t="s">
        <v>0</v>
      </c>
      <c r="B1" s="27"/>
      <c r="C1" s="27"/>
      <c r="D1" s="27"/>
      <c r="E1" s="27"/>
      <c r="F1" s="27"/>
      <c r="G1" s="27"/>
      <c r="H1" s="27"/>
    </row>
    <row r="2" spans="1:8" x14ac:dyDescent="0.25">
      <c r="A2" s="27"/>
      <c r="B2" s="27"/>
      <c r="C2" s="27"/>
      <c r="D2" s="27"/>
      <c r="E2" s="27"/>
      <c r="F2" s="27"/>
      <c r="G2" s="27"/>
      <c r="H2" s="27"/>
    </row>
    <row r="3" spans="1:8" x14ac:dyDescent="0.25">
      <c r="A3" s="27"/>
      <c r="B3" s="27"/>
      <c r="C3" s="27"/>
      <c r="D3" s="27"/>
      <c r="E3" s="27"/>
      <c r="F3" s="27"/>
      <c r="G3" s="27"/>
      <c r="H3" s="27"/>
    </row>
    <row r="4" spans="1:8" ht="24" customHeight="1" x14ac:dyDescent="0.25">
      <c r="A4" s="30" t="s">
        <v>1</v>
      </c>
      <c r="B4" s="27"/>
      <c r="C4" s="27"/>
      <c r="D4" s="27"/>
      <c r="E4" s="27"/>
      <c r="F4" s="27"/>
      <c r="G4" s="27"/>
      <c r="H4" s="27"/>
    </row>
    <row r="6" spans="1:8" x14ac:dyDescent="0.25">
      <c r="A6" s="24" t="s">
        <v>2</v>
      </c>
      <c r="B6" s="29" t="s">
        <v>3</v>
      </c>
      <c r="C6" s="27"/>
      <c r="D6" s="27"/>
      <c r="E6" s="28" t="s">
        <v>155</v>
      </c>
      <c r="F6" s="27"/>
      <c r="G6" s="27"/>
      <c r="H6" s="27"/>
    </row>
    <row r="7" spans="1:8" x14ac:dyDescent="0.25">
      <c r="A7" s="25"/>
      <c r="B7" s="25"/>
      <c r="C7" s="25"/>
      <c r="D7" s="25"/>
      <c r="E7" s="25"/>
      <c r="F7" s="25"/>
      <c r="G7" s="25"/>
      <c r="H7" s="25"/>
    </row>
    <row r="8" spans="1:8" x14ac:dyDescent="0.25">
      <c r="A8" s="24" t="s">
        <v>4</v>
      </c>
      <c r="B8" s="29" t="s">
        <v>5</v>
      </c>
      <c r="C8" s="27"/>
      <c r="D8" s="27"/>
      <c r="E8" s="28" t="s">
        <v>6</v>
      </c>
      <c r="F8" s="27"/>
      <c r="G8" s="27"/>
      <c r="H8" s="27"/>
    </row>
    <row r="9" spans="1:8" x14ac:dyDescent="0.25">
      <c r="A9" s="25"/>
      <c r="B9" s="25"/>
      <c r="C9" s="25"/>
      <c r="D9" s="25"/>
      <c r="E9" s="25"/>
      <c r="F9" s="25"/>
      <c r="G9" s="25"/>
      <c r="H9" s="25"/>
    </row>
    <row r="10" spans="1:8" x14ac:dyDescent="0.25">
      <c r="A10" s="24" t="s">
        <v>7</v>
      </c>
      <c r="B10" s="29" t="s">
        <v>8</v>
      </c>
      <c r="C10" s="27"/>
      <c r="D10" s="27"/>
      <c r="E10" s="28" t="s">
        <v>9</v>
      </c>
      <c r="F10" s="27"/>
      <c r="G10" s="27"/>
      <c r="H10" s="27"/>
    </row>
    <row r="11" spans="1:8" x14ac:dyDescent="0.25">
      <c r="A11" s="25"/>
      <c r="B11" s="25"/>
      <c r="C11" s="25"/>
      <c r="D11" s="25"/>
      <c r="E11" s="25"/>
      <c r="F11" s="25"/>
      <c r="G11" s="25"/>
      <c r="H11" s="25"/>
    </row>
    <row r="12" spans="1:8" x14ac:dyDescent="0.25">
      <c r="A12" s="24" t="s">
        <v>10</v>
      </c>
      <c r="B12" s="29" t="s">
        <v>11</v>
      </c>
      <c r="C12" s="27"/>
      <c r="D12" s="27"/>
      <c r="E12" s="28" t="s">
        <v>12</v>
      </c>
      <c r="F12" s="27"/>
      <c r="G12" s="27"/>
      <c r="H12" s="27"/>
    </row>
    <row r="13" spans="1:8" x14ac:dyDescent="0.25">
      <c r="A13" s="25"/>
      <c r="B13" s="25"/>
      <c r="C13" s="25"/>
      <c r="D13" s="25"/>
      <c r="E13" s="25"/>
      <c r="F13" s="25"/>
      <c r="G13" s="25"/>
      <c r="H13" s="25"/>
    </row>
    <row r="14" spans="1:8" x14ac:dyDescent="0.25">
      <c r="A14" s="24" t="s">
        <v>13</v>
      </c>
      <c r="B14" s="29" t="s">
        <v>14</v>
      </c>
      <c r="C14" s="27"/>
      <c r="D14" s="27"/>
      <c r="E14" s="28" t="s">
        <v>15</v>
      </c>
      <c r="F14" s="27"/>
      <c r="G14" s="27"/>
      <c r="H14" s="27"/>
    </row>
    <row r="15" spans="1:8" x14ac:dyDescent="0.25">
      <c r="A15" s="25"/>
      <c r="B15" s="25"/>
      <c r="C15" s="25"/>
      <c r="D15" s="25"/>
      <c r="E15" s="25"/>
      <c r="F15" s="25"/>
      <c r="G15" s="25"/>
      <c r="H15" s="25"/>
    </row>
    <row r="16" spans="1:8" x14ac:dyDescent="0.25">
      <c r="A16" s="24" t="s">
        <v>16</v>
      </c>
      <c r="B16" s="29" t="s">
        <v>17</v>
      </c>
      <c r="C16" s="27"/>
      <c r="D16" s="27"/>
      <c r="E16" s="28" t="s">
        <v>18</v>
      </c>
      <c r="F16" s="27"/>
      <c r="G16" s="27"/>
      <c r="H16" s="27"/>
    </row>
    <row r="17" spans="1:8" x14ac:dyDescent="0.25">
      <c r="A17" s="25"/>
      <c r="B17" s="25"/>
      <c r="C17" s="25"/>
      <c r="D17" s="25"/>
      <c r="E17" s="25"/>
      <c r="F17" s="25"/>
      <c r="G17" s="25"/>
      <c r="H17" s="25"/>
    </row>
    <row r="19" spans="1:8" x14ac:dyDescent="0.25">
      <c r="A19" s="31" t="s">
        <v>19</v>
      </c>
      <c r="B19" s="27"/>
      <c r="C19" s="27"/>
      <c r="D19" s="27"/>
      <c r="E19" s="27"/>
      <c r="F19" s="27"/>
      <c r="G19" s="27"/>
      <c r="H19" s="27"/>
    </row>
    <row r="20" spans="1:8" x14ac:dyDescent="0.25">
      <c r="A20" s="27"/>
      <c r="B20" s="27"/>
      <c r="C20" s="27"/>
      <c r="D20" s="27"/>
      <c r="E20" s="27"/>
      <c r="F20" s="27"/>
      <c r="G20" s="27"/>
      <c r="H20" s="27"/>
    </row>
    <row r="21" spans="1:8" x14ac:dyDescent="0.25">
      <c r="A21" s="27"/>
      <c r="B21" s="27"/>
      <c r="C21" s="27"/>
      <c r="D21" s="27"/>
      <c r="E21" s="27"/>
      <c r="F21" s="27"/>
      <c r="G21" s="27"/>
      <c r="H21" s="27"/>
    </row>
    <row r="22" spans="1:8" x14ac:dyDescent="0.25">
      <c r="A22" s="27"/>
      <c r="B22" s="27"/>
      <c r="C22" s="27"/>
      <c r="D22" s="27"/>
      <c r="E22" s="27"/>
      <c r="F22" s="27"/>
      <c r="G22" s="27"/>
      <c r="H22" s="27"/>
    </row>
  </sheetData>
  <mergeCells count="21">
    <mergeCell ref="A19:H22"/>
    <mergeCell ref="A14:A15"/>
    <mergeCell ref="B8:D9"/>
    <mergeCell ref="A8:A9"/>
    <mergeCell ref="B14:D15"/>
    <mergeCell ref="E16:H17"/>
    <mergeCell ref="A10:A11"/>
    <mergeCell ref="B10:D11"/>
    <mergeCell ref="E12:H13"/>
    <mergeCell ref="E14:H15"/>
    <mergeCell ref="E8:H9"/>
    <mergeCell ref="A16:A17"/>
    <mergeCell ref="A6:A7"/>
    <mergeCell ref="A1:H3"/>
    <mergeCell ref="E10:H11"/>
    <mergeCell ref="B16:D17"/>
    <mergeCell ref="A12:A13"/>
    <mergeCell ref="E6:H7"/>
    <mergeCell ref="B12:D13"/>
    <mergeCell ref="A4:H4"/>
    <mergeCell ref="B6:D7"/>
  </mergeCells>
  <hyperlinks>
    <hyperlink ref="B6" location="'Datos'!A1" display="Datos" xr:uid="{00000000-0004-0000-0000-000000000000}"/>
    <hyperlink ref="B8" location="'Fase de Grupos'!A1" display="Fase de Grupos" xr:uid="{00000000-0004-0000-0000-000001000000}"/>
    <hyperlink ref="B10" location="'Tabla Grupos'!A1" display="Tabla Grupos" xr:uid="{00000000-0004-0000-0000-000002000000}"/>
    <hyperlink ref="B12" location="'Eliminatorias'!A1" display="Eliminatorias" xr:uid="{00000000-0004-0000-0000-000003000000}"/>
    <hyperlink ref="B14" location="'Podio'!A1" display="Podio" xr:uid="{00000000-0004-0000-0000-000004000000}"/>
    <hyperlink ref="B16" location="'Grupos (referencia)'!A1" display="Grupos (referencia)" xr:uid="{00000000-0004-0000-0000-00000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2A4A"/>
  </sheetPr>
  <dimension ref="A1:F18"/>
  <sheetViews>
    <sheetView showGridLines="0" workbookViewId="0">
      <selection sqref="A1:C1"/>
    </sheetView>
  </sheetViews>
  <sheetFormatPr baseColWidth="10" defaultColWidth="9.140625" defaultRowHeight="15" x14ac:dyDescent="0.25"/>
  <cols>
    <col min="1" max="1" width="48" customWidth="1"/>
    <col min="2" max="3" width="22" customWidth="1"/>
  </cols>
  <sheetData>
    <row r="1" spans="1:6" ht="27.95" customHeight="1" x14ac:dyDescent="0.25">
      <c r="A1" s="32" t="s">
        <v>20</v>
      </c>
      <c r="B1" s="27"/>
      <c r="C1" s="27"/>
    </row>
    <row r="3" spans="1:6" x14ac:dyDescent="0.25">
      <c r="A3" s="1" t="s">
        <v>21</v>
      </c>
      <c r="B3" s="34"/>
      <c r="C3" s="27"/>
    </row>
    <row r="5" spans="1:6" x14ac:dyDescent="0.25">
      <c r="A5" s="1" t="s">
        <v>22</v>
      </c>
    </row>
    <row r="6" spans="1:6" x14ac:dyDescent="0.25">
      <c r="A6" s="33" t="s">
        <v>23</v>
      </c>
      <c r="B6" s="27"/>
      <c r="C6" s="27"/>
      <c r="D6" s="27"/>
      <c r="E6" s="27"/>
      <c r="F6" s="27"/>
    </row>
    <row r="7" spans="1:6" x14ac:dyDescent="0.25">
      <c r="A7" s="33" t="s">
        <v>24</v>
      </c>
      <c r="B7" s="27"/>
      <c r="C7" s="27"/>
      <c r="D7" s="27"/>
      <c r="E7" s="27"/>
      <c r="F7" s="27"/>
    </row>
    <row r="8" spans="1:6" x14ac:dyDescent="0.25">
      <c r="A8" s="33" t="s">
        <v>25</v>
      </c>
      <c r="B8" s="27"/>
      <c r="C8" s="27"/>
      <c r="D8" s="27"/>
      <c r="E8" s="27"/>
      <c r="F8" s="27"/>
    </row>
    <row r="9" spans="1:6" x14ac:dyDescent="0.25">
      <c r="A9" s="33" t="s">
        <v>26</v>
      </c>
      <c r="B9" s="27"/>
      <c r="C9" s="27"/>
      <c r="D9" s="27"/>
      <c r="E9" s="27"/>
      <c r="F9" s="27"/>
    </row>
    <row r="10" spans="1:6" x14ac:dyDescent="0.25">
      <c r="A10" s="33" t="s">
        <v>27</v>
      </c>
      <c r="B10" s="27"/>
      <c r="C10" s="27"/>
      <c r="D10" s="27"/>
      <c r="E10" s="27"/>
      <c r="F10" s="27"/>
    </row>
    <row r="11" spans="1:6" x14ac:dyDescent="0.25">
      <c r="A11" s="33" t="s">
        <v>28</v>
      </c>
      <c r="B11" s="27"/>
      <c r="C11" s="27"/>
      <c r="D11" s="27"/>
      <c r="E11" s="27"/>
      <c r="F11" s="27"/>
    </row>
    <row r="12" spans="1:6" x14ac:dyDescent="0.25">
      <c r="A12" s="33" t="s">
        <v>29</v>
      </c>
      <c r="B12" s="27"/>
      <c r="C12" s="27"/>
      <c r="D12" s="27"/>
      <c r="E12" s="27"/>
      <c r="F12" s="27"/>
    </row>
    <row r="13" spans="1:6" x14ac:dyDescent="0.25">
      <c r="A13" s="33" t="s">
        <v>30</v>
      </c>
      <c r="B13" s="27"/>
      <c r="C13" s="27"/>
      <c r="D13" s="27"/>
      <c r="E13" s="27"/>
      <c r="F13" s="27"/>
    </row>
    <row r="14" spans="1:6" x14ac:dyDescent="0.25">
      <c r="A14" s="33" t="s">
        <v>31</v>
      </c>
      <c r="B14" s="27"/>
      <c r="C14" s="27"/>
      <c r="D14" s="27"/>
      <c r="E14" s="27"/>
      <c r="F14" s="27"/>
    </row>
    <row r="15" spans="1:6" x14ac:dyDescent="0.25">
      <c r="A15" s="33"/>
      <c r="B15" s="27"/>
      <c r="C15" s="27"/>
      <c r="D15" s="27"/>
      <c r="E15" s="27"/>
      <c r="F15" s="27"/>
    </row>
    <row r="16" spans="1:6" x14ac:dyDescent="0.25">
      <c r="A16" s="33" t="s">
        <v>32</v>
      </c>
      <c r="B16" s="27"/>
      <c r="C16" s="27"/>
      <c r="D16" s="27"/>
      <c r="E16" s="27"/>
      <c r="F16" s="27"/>
    </row>
    <row r="17" spans="1:6" x14ac:dyDescent="0.25">
      <c r="A17" s="33" t="s">
        <v>33</v>
      </c>
      <c r="B17" s="27"/>
      <c r="C17" s="27"/>
      <c r="D17" s="27"/>
      <c r="E17" s="27"/>
      <c r="F17" s="27"/>
    </row>
    <row r="18" spans="1:6" x14ac:dyDescent="0.25">
      <c r="A18" s="33" t="s">
        <v>34</v>
      </c>
      <c r="B18" s="27"/>
      <c r="C18" s="27"/>
      <c r="D18" s="27"/>
      <c r="E18" s="27"/>
      <c r="F18" s="27"/>
    </row>
  </sheetData>
  <mergeCells count="15">
    <mergeCell ref="A1:C1"/>
    <mergeCell ref="A11:F11"/>
    <mergeCell ref="B3:C3"/>
    <mergeCell ref="A12:F12"/>
    <mergeCell ref="A18:F18"/>
    <mergeCell ref="A17:F17"/>
    <mergeCell ref="A7:F7"/>
    <mergeCell ref="A13:F13"/>
    <mergeCell ref="A6:F6"/>
    <mergeCell ref="A15:F15"/>
    <mergeCell ref="A10:F10"/>
    <mergeCell ref="A16:F16"/>
    <mergeCell ref="A14:F14"/>
    <mergeCell ref="A9:F9"/>
    <mergeCell ref="A8:F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CAF50"/>
  </sheetPr>
  <dimension ref="A1:F74"/>
  <sheetViews>
    <sheetView showGridLines="0" tabSelected="1" workbookViewId="0">
      <pane ySplit="2" topLeftCell="A3" activePane="bottomLeft" state="frozen"/>
      <selection pane="bottomLeft" activeCell="D11" sqref="D11"/>
    </sheetView>
  </sheetViews>
  <sheetFormatPr baseColWidth="10" defaultColWidth="9.140625" defaultRowHeight="15" x14ac:dyDescent="0.25"/>
  <cols>
    <col min="1" max="1" width="5" customWidth="1"/>
    <col min="2" max="2" width="8" customWidth="1"/>
    <col min="3" max="3" width="24" customWidth="1"/>
    <col min="4" max="4" width="12" customWidth="1"/>
    <col min="5" max="5" width="14" customWidth="1"/>
    <col min="6" max="6" width="24" customWidth="1"/>
  </cols>
  <sheetData>
    <row r="1" spans="1:6" ht="26.1" customHeight="1" x14ac:dyDescent="0.25">
      <c r="A1" s="32" t="s">
        <v>35</v>
      </c>
      <c r="B1" s="27"/>
      <c r="C1" s="27"/>
      <c r="D1" s="27"/>
      <c r="E1" s="27"/>
      <c r="F1" s="27"/>
    </row>
    <row r="2" spans="1:6" x14ac:dyDescent="0.25">
      <c r="A2" s="2" t="s">
        <v>36</v>
      </c>
      <c r="B2" s="2" t="s">
        <v>37</v>
      </c>
      <c r="C2" s="2" t="s">
        <v>38</v>
      </c>
      <c r="D2" s="2" t="s">
        <v>39</v>
      </c>
      <c r="E2" s="2" t="s">
        <v>40</v>
      </c>
      <c r="F2" s="2" t="s">
        <v>41</v>
      </c>
    </row>
    <row r="3" spans="1:6" x14ac:dyDescent="0.25">
      <c r="A3" s="3">
        <v>1</v>
      </c>
      <c r="B3" s="3" t="s">
        <v>42</v>
      </c>
      <c r="C3" s="4" t="s">
        <v>43</v>
      </c>
      <c r="D3" s="5">
        <v>3</v>
      </c>
      <c r="E3" s="5">
        <v>0</v>
      </c>
      <c r="F3" s="4" t="s">
        <v>44</v>
      </c>
    </row>
    <row r="4" spans="1:6" x14ac:dyDescent="0.25">
      <c r="A4" s="6">
        <v>2</v>
      </c>
      <c r="B4" s="6" t="s">
        <v>42</v>
      </c>
      <c r="C4" s="7" t="s">
        <v>45</v>
      </c>
      <c r="D4" s="5">
        <v>2</v>
      </c>
      <c r="E4" s="5">
        <v>1</v>
      </c>
      <c r="F4" s="7" t="s">
        <v>46</v>
      </c>
    </row>
    <row r="5" spans="1:6" x14ac:dyDescent="0.25">
      <c r="A5" s="3">
        <v>3</v>
      </c>
      <c r="B5" s="3" t="s">
        <v>42</v>
      </c>
      <c r="C5" s="4" t="s">
        <v>46</v>
      </c>
      <c r="D5" s="5">
        <v>2</v>
      </c>
      <c r="E5" s="5">
        <v>0</v>
      </c>
      <c r="F5" s="4" t="s">
        <v>44</v>
      </c>
    </row>
    <row r="6" spans="1:6" x14ac:dyDescent="0.25">
      <c r="A6" s="6">
        <v>4</v>
      </c>
      <c r="B6" s="6" t="s">
        <v>42</v>
      </c>
      <c r="C6" s="7" t="s">
        <v>43</v>
      </c>
      <c r="D6" s="5">
        <v>2</v>
      </c>
      <c r="E6" s="5">
        <v>1</v>
      </c>
      <c r="F6" s="7" t="s">
        <v>45</v>
      </c>
    </row>
    <row r="7" spans="1:6" x14ac:dyDescent="0.25">
      <c r="A7" s="3">
        <v>5</v>
      </c>
      <c r="B7" s="3" t="s">
        <v>42</v>
      </c>
      <c r="C7" s="4" t="s">
        <v>46</v>
      </c>
      <c r="D7" s="5">
        <v>1</v>
      </c>
      <c r="E7" s="5">
        <v>1</v>
      </c>
      <c r="F7" s="4" t="s">
        <v>43</v>
      </c>
    </row>
    <row r="8" spans="1:6" x14ac:dyDescent="0.25">
      <c r="A8" s="6">
        <v>6</v>
      </c>
      <c r="B8" s="6" t="s">
        <v>42</v>
      </c>
      <c r="C8" s="7" t="s">
        <v>44</v>
      </c>
      <c r="D8" s="5">
        <v>1</v>
      </c>
      <c r="E8" s="5">
        <v>2</v>
      </c>
      <c r="F8" s="7" t="s">
        <v>45</v>
      </c>
    </row>
    <row r="9" spans="1:6" x14ac:dyDescent="0.25">
      <c r="A9" s="3">
        <v>7</v>
      </c>
      <c r="B9" s="3" t="s">
        <v>47</v>
      </c>
      <c r="C9" s="4" t="s">
        <v>48</v>
      </c>
      <c r="D9" s="5">
        <v>2</v>
      </c>
      <c r="E9" s="5">
        <v>1</v>
      </c>
      <c r="F9" s="4" t="s">
        <v>49</v>
      </c>
    </row>
    <row r="10" spans="1:6" x14ac:dyDescent="0.25">
      <c r="A10" s="6">
        <v>8</v>
      </c>
      <c r="B10" s="6" t="s">
        <v>47</v>
      </c>
      <c r="C10" s="7" t="s">
        <v>50</v>
      </c>
      <c r="D10" s="5">
        <v>1</v>
      </c>
      <c r="E10" s="5">
        <v>1</v>
      </c>
      <c r="F10" s="7" t="s">
        <v>51</v>
      </c>
    </row>
    <row r="11" spans="1:6" x14ac:dyDescent="0.25">
      <c r="A11" s="3">
        <v>9</v>
      </c>
      <c r="B11" s="3" t="s">
        <v>47</v>
      </c>
      <c r="C11" s="4" t="s">
        <v>51</v>
      </c>
      <c r="D11" s="5"/>
      <c r="E11" s="5"/>
      <c r="F11" s="4" t="s">
        <v>49</v>
      </c>
    </row>
    <row r="12" spans="1:6" x14ac:dyDescent="0.25">
      <c r="A12" s="6">
        <v>10</v>
      </c>
      <c r="B12" s="6" t="s">
        <v>47</v>
      </c>
      <c r="C12" s="7" t="s">
        <v>48</v>
      </c>
      <c r="D12" s="5"/>
      <c r="E12" s="5"/>
      <c r="F12" s="7" t="s">
        <v>50</v>
      </c>
    </row>
    <row r="13" spans="1:6" x14ac:dyDescent="0.25">
      <c r="A13" s="3">
        <v>11</v>
      </c>
      <c r="B13" s="3" t="s">
        <v>47</v>
      </c>
      <c r="C13" s="4" t="s">
        <v>51</v>
      </c>
      <c r="D13" s="5"/>
      <c r="E13" s="5"/>
      <c r="F13" s="4" t="s">
        <v>48</v>
      </c>
    </row>
    <row r="14" spans="1:6" x14ac:dyDescent="0.25">
      <c r="A14" s="6">
        <v>12</v>
      </c>
      <c r="B14" s="6" t="s">
        <v>47</v>
      </c>
      <c r="C14" s="7" t="s">
        <v>49</v>
      </c>
      <c r="D14" s="5"/>
      <c r="E14" s="5"/>
      <c r="F14" s="7" t="s">
        <v>50</v>
      </c>
    </row>
    <row r="15" spans="1:6" x14ac:dyDescent="0.25">
      <c r="A15" s="3">
        <v>13</v>
      </c>
      <c r="B15" s="3" t="s">
        <v>52</v>
      </c>
      <c r="C15" s="4" t="s">
        <v>53</v>
      </c>
      <c r="D15" s="5"/>
      <c r="E15" s="5"/>
      <c r="F15" s="4" t="s">
        <v>54</v>
      </c>
    </row>
    <row r="16" spans="1:6" x14ac:dyDescent="0.25">
      <c r="A16" s="6">
        <v>14</v>
      </c>
      <c r="B16" s="6" t="s">
        <v>52</v>
      </c>
      <c r="C16" s="7" t="s">
        <v>55</v>
      </c>
      <c r="D16" s="5"/>
      <c r="E16" s="5"/>
      <c r="F16" s="7" t="s">
        <v>56</v>
      </c>
    </row>
    <row r="17" spans="1:6" x14ac:dyDescent="0.25">
      <c r="A17" s="3">
        <v>15</v>
      </c>
      <c r="B17" s="3" t="s">
        <v>52</v>
      </c>
      <c r="C17" s="4" t="s">
        <v>56</v>
      </c>
      <c r="D17" s="5"/>
      <c r="E17" s="5"/>
      <c r="F17" s="4" t="s">
        <v>54</v>
      </c>
    </row>
    <row r="18" spans="1:6" x14ac:dyDescent="0.25">
      <c r="A18" s="6">
        <v>16</v>
      </c>
      <c r="B18" s="6" t="s">
        <v>52</v>
      </c>
      <c r="C18" s="7" t="s">
        <v>53</v>
      </c>
      <c r="D18" s="5"/>
      <c r="E18" s="5"/>
      <c r="F18" s="7" t="s">
        <v>55</v>
      </c>
    </row>
    <row r="19" spans="1:6" x14ac:dyDescent="0.25">
      <c r="A19" s="3">
        <v>17</v>
      </c>
      <c r="B19" s="3" t="s">
        <v>52</v>
      </c>
      <c r="C19" s="4" t="s">
        <v>56</v>
      </c>
      <c r="D19" s="5"/>
      <c r="E19" s="5"/>
      <c r="F19" s="4" t="s">
        <v>53</v>
      </c>
    </row>
    <row r="20" spans="1:6" x14ac:dyDescent="0.25">
      <c r="A20" s="6">
        <v>18</v>
      </c>
      <c r="B20" s="6" t="s">
        <v>52</v>
      </c>
      <c r="C20" s="7" t="s">
        <v>54</v>
      </c>
      <c r="D20" s="5"/>
      <c r="E20" s="5"/>
      <c r="F20" s="7" t="s">
        <v>55</v>
      </c>
    </row>
    <row r="21" spans="1:6" x14ac:dyDescent="0.25">
      <c r="A21" s="3">
        <v>19</v>
      </c>
      <c r="B21" s="3" t="s">
        <v>57</v>
      </c>
      <c r="C21" s="4" t="s">
        <v>58</v>
      </c>
      <c r="D21" s="5"/>
      <c r="E21" s="5"/>
      <c r="F21" s="4" t="s">
        <v>59</v>
      </c>
    </row>
    <row r="22" spans="1:6" x14ac:dyDescent="0.25">
      <c r="A22" s="6">
        <v>20</v>
      </c>
      <c r="B22" s="6" t="s">
        <v>57</v>
      </c>
      <c r="C22" s="7" t="s">
        <v>60</v>
      </c>
      <c r="D22" s="5"/>
      <c r="E22" s="5"/>
      <c r="F22" s="7" t="s">
        <v>61</v>
      </c>
    </row>
    <row r="23" spans="1:6" x14ac:dyDescent="0.25">
      <c r="A23" s="3">
        <v>21</v>
      </c>
      <c r="B23" s="3" t="s">
        <v>57</v>
      </c>
      <c r="C23" s="4" t="s">
        <v>58</v>
      </c>
      <c r="D23" s="5"/>
      <c r="E23" s="5"/>
      <c r="F23" s="4" t="s">
        <v>60</v>
      </c>
    </row>
    <row r="24" spans="1:6" x14ac:dyDescent="0.25">
      <c r="A24" s="6">
        <v>22</v>
      </c>
      <c r="B24" s="6" t="s">
        <v>57</v>
      </c>
      <c r="C24" s="7" t="s">
        <v>61</v>
      </c>
      <c r="D24" s="5"/>
      <c r="E24" s="5"/>
      <c r="F24" s="7" t="s">
        <v>59</v>
      </c>
    </row>
    <row r="25" spans="1:6" x14ac:dyDescent="0.25">
      <c r="A25" s="3">
        <v>23</v>
      </c>
      <c r="B25" s="3" t="s">
        <v>57</v>
      </c>
      <c r="C25" s="4" t="s">
        <v>61</v>
      </c>
      <c r="D25" s="5"/>
      <c r="E25" s="5"/>
      <c r="F25" s="4" t="s">
        <v>58</v>
      </c>
    </row>
    <row r="26" spans="1:6" x14ac:dyDescent="0.25">
      <c r="A26" s="6">
        <v>24</v>
      </c>
      <c r="B26" s="6" t="s">
        <v>57</v>
      </c>
      <c r="C26" s="7" t="s">
        <v>59</v>
      </c>
      <c r="D26" s="5"/>
      <c r="E26" s="5"/>
      <c r="F26" s="7" t="s">
        <v>60</v>
      </c>
    </row>
    <row r="27" spans="1:6" x14ac:dyDescent="0.25">
      <c r="A27" s="3">
        <v>25</v>
      </c>
      <c r="B27" s="3" t="s">
        <v>62</v>
      </c>
      <c r="C27" s="4" t="s">
        <v>63</v>
      </c>
      <c r="D27" s="5"/>
      <c r="E27" s="5"/>
      <c r="F27" s="4" t="s">
        <v>64</v>
      </c>
    </row>
    <row r="28" spans="1:6" x14ac:dyDescent="0.25">
      <c r="A28" s="6">
        <v>26</v>
      </c>
      <c r="B28" s="6" t="s">
        <v>62</v>
      </c>
      <c r="C28" s="7" t="s">
        <v>65</v>
      </c>
      <c r="D28" s="5"/>
      <c r="E28" s="5"/>
      <c r="F28" s="7" t="s">
        <v>66</v>
      </c>
    </row>
    <row r="29" spans="1:6" x14ac:dyDescent="0.25">
      <c r="A29" s="3">
        <v>27</v>
      </c>
      <c r="B29" s="3" t="s">
        <v>62</v>
      </c>
      <c r="C29" s="4" t="s">
        <v>63</v>
      </c>
      <c r="D29" s="5"/>
      <c r="E29" s="5"/>
      <c r="F29" s="4" t="s">
        <v>65</v>
      </c>
    </row>
    <row r="30" spans="1:6" x14ac:dyDescent="0.25">
      <c r="A30" s="6">
        <v>28</v>
      </c>
      <c r="B30" s="6" t="s">
        <v>62</v>
      </c>
      <c r="C30" s="7" t="s">
        <v>66</v>
      </c>
      <c r="D30" s="5"/>
      <c r="E30" s="5"/>
      <c r="F30" s="7" t="s">
        <v>64</v>
      </c>
    </row>
    <row r="31" spans="1:6" x14ac:dyDescent="0.25">
      <c r="A31" s="3">
        <v>29</v>
      </c>
      <c r="B31" s="3" t="s">
        <v>62</v>
      </c>
      <c r="C31" s="4" t="s">
        <v>66</v>
      </c>
      <c r="D31" s="5"/>
      <c r="E31" s="5"/>
      <c r="F31" s="4" t="s">
        <v>63</v>
      </c>
    </row>
    <row r="32" spans="1:6" x14ac:dyDescent="0.25">
      <c r="A32" s="6">
        <v>30</v>
      </c>
      <c r="B32" s="6" t="s">
        <v>62</v>
      </c>
      <c r="C32" s="7" t="s">
        <v>64</v>
      </c>
      <c r="D32" s="5"/>
      <c r="E32" s="5"/>
      <c r="F32" s="7" t="s">
        <v>65</v>
      </c>
    </row>
    <row r="33" spans="1:6" x14ac:dyDescent="0.25">
      <c r="A33" s="3">
        <v>31</v>
      </c>
      <c r="B33" s="3" t="s">
        <v>67</v>
      </c>
      <c r="C33" s="4" t="s">
        <v>68</v>
      </c>
      <c r="D33" s="5"/>
      <c r="E33" s="5"/>
      <c r="F33" s="4" t="s">
        <v>69</v>
      </c>
    </row>
    <row r="34" spans="1:6" x14ac:dyDescent="0.25">
      <c r="A34" s="6">
        <v>32</v>
      </c>
      <c r="B34" s="6" t="s">
        <v>67</v>
      </c>
      <c r="C34" s="7" t="s">
        <v>70</v>
      </c>
      <c r="D34" s="5"/>
      <c r="E34" s="5"/>
      <c r="F34" s="7" t="s">
        <v>71</v>
      </c>
    </row>
    <row r="35" spans="1:6" x14ac:dyDescent="0.25">
      <c r="A35" s="3">
        <v>33</v>
      </c>
      <c r="B35" s="3" t="s">
        <v>67</v>
      </c>
      <c r="C35" s="4" t="s">
        <v>68</v>
      </c>
      <c r="D35" s="5"/>
      <c r="E35" s="5"/>
      <c r="F35" s="4" t="s">
        <v>70</v>
      </c>
    </row>
    <row r="36" spans="1:6" x14ac:dyDescent="0.25">
      <c r="A36" s="6">
        <v>34</v>
      </c>
      <c r="B36" s="6" t="s">
        <v>67</v>
      </c>
      <c r="C36" s="7" t="s">
        <v>71</v>
      </c>
      <c r="D36" s="5"/>
      <c r="E36" s="5"/>
      <c r="F36" s="7" t="s">
        <v>69</v>
      </c>
    </row>
    <row r="37" spans="1:6" x14ac:dyDescent="0.25">
      <c r="A37" s="3">
        <v>35</v>
      </c>
      <c r="B37" s="3" t="s">
        <v>67</v>
      </c>
      <c r="C37" s="4" t="s">
        <v>69</v>
      </c>
      <c r="D37" s="5"/>
      <c r="E37" s="5"/>
      <c r="F37" s="4" t="s">
        <v>70</v>
      </c>
    </row>
    <row r="38" spans="1:6" x14ac:dyDescent="0.25">
      <c r="A38" s="6">
        <v>36</v>
      </c>
      <c r="B38" s="6" t="s">
        <v>67</v>
      </c>
      <c r="C38" s="7" t="s">
        <v>71</v>
      </c>
      <c r="D38" s="5"/>
      <c r="E38" s="5"/>
      <c r="F38" s="7" t="s">
        <v>68</v>
      </c>
    </row>
    <row r="39" spans="1:6" x14ac:dyDescent="0.25">
      <c r="A39" s="3">
        <v>37</v>
      </c>
      <c r="B39" s="3" t="s">
        <v>72</v>
      </c>
      <c r="C39" s="4" t="s">
        <v>73</v>
      </c>
      <c r="D39" s="5"/>
      <c r="E39" s="5"/>
      <c r="F39" s="4" t="s">
        <v>74</v>
      </c>
    </row>
    <row r="40" spans="1:6" x14ac:dyDescent="0.25">
      <c r="A40" s="6">
        <v>38</v>
      </c>
      <c r="B40" s="6" t="s">
        <v>72</v>
      </c>
      <c r="C40" s="7" t="s">
        <v>75</v>
      </c>
      <c r="D40" s="5"/>
      <c r="E40" s="5"/>
      <c r="F40" s="7" t="s">
        <v>76</v>
      </c>
    </row>
    <row r="41" spans="1:6" x14ac:dyDescent="0.25">
      <c r="A41" s="3">
        <v>39</v>
      </c>
      <c r="B41" s="3" t="s">
        <v>72</v>
      </c>
      <c r="C41" s="4" t="s">
        <v>73</v>
      </c>
      <c r="D41" s="5"/>
      <c r="E41" s="5"/>
      <c r="F41" s="4" t="s">
        <v>75</v>
      </c>
    </row>
    <row r="42" spans="1:6" x14ac:dyDescent="0.25">
      <c r="A42" s="6">
        <v>40</v>
      </c>
      <c r="B42" s="6" t="s">
        <v>72</v>
      </c>
      <c r="C42" s="7" t="s">
        <v>76</v>
      </c>
      <c r="D42" s="5"/>
      <c r="E42" s="5"/>
      <c r="F42" s="7" t="s">
        <v>74</v>
      </c>
    </row>
    <row r="43" spans="1:6" x14ac:dyDescent="0.25">
      <c r="A43" s="3">
        <v>41</v>
      </c>
      <c r="B43" s="3" t="s">
        <v>72</v>
      </c>
      <c r="C43" s="4" t="s">
        <v>74</v>
      </c>
      <c r="D43" s="5"/>
      <c r="E43" s="5"/>
      <c r="F43" s="4" t="s">
        <v>75</v>
      </c>
    </row>
    <row r="44" spans="1:6" x14ac:dyDescent="0.25">
      <c r="A44" s="6">
        <v>42</v>
      </c>
      <c r="B44" s="6" t="s">
        <v>72</v>
      </c>
      <c r="C44" s="7" t="s">
        <v>76</v>
      </c>
      <c r="D44" s="5"/>
      <c r="E44" s="5"/>
      <c r="F44" s="7" t="s">
        <v>73</v>
      </c>
    </row>
    <row r="45" spans="1:6" x14ac:dyDescent="0.25">
      <c r="A45" s="3">
        <v>43</v>
      </c>
      <c r="B45" s="3" t="s">
        <v>77</v>
      </c>
      <c r="C45" s="4" t="s">
        <v>78</v>
      </c>
      <c r="D45" s="5"/>
      <c r="E45" s="5"/>
      <c r="F45" s="4" t="s">
        <v>79</v>
      </c>
    </row>
    <row r="46" spans="1:6" x14ac:dyDescent="0.25">
      <c r="A46" s="6">
        <v>44</v>
      </c>
      <c r="B46" s="6" t="s">
        <v>77</v>
      </c>
      <c r="C46" s="7" t="s">
        <v>80</v>
      </c>
      <c r="D46" s="5"/>
      <c r="E46" s="5"/>
      <c r="F46" s="7" t="s">
        <v>81</v>
      </c>
    </row>
    <row r="47" spans="1:6" x14ac:dyDescent="0.25">
      <c r="A47" s="3">
        <v>45</v>
      </c>
      <c r="B47" s="3" t="s">
        <v>77</v>
      </c>
      <c r="C47" s="4" t="s">
        <v>78</v>
      </c>
      <c r="D47" s="5"/>
      <c r="E47" s="5"/>
      <c r="F47" s="4" t="s">
        <v>80</v>
      </c>
    </row>
    <row r="48" spans="1:6" x14ac:dyDescent="0.25">
      <c r="A48" s="6">
        <v>46</v>
      </c>
      <c r="B48" s="6" t="s">
        <v>77</v>
      </c>
      <c r="C48" s="7" t="s">
        <v>81</v>
      </c>
      <c r="D48" s="5"/>
      <c r="E48" s="5"/>
      <c r="F48" s="7" t="s">
        <v>79</v>
      </c>
    </row>
    <row r="49" spans="1:6" x14ac:dyDescent="0.25">
      <c r="A49" s="3">
        <v>47</v>
      </c>
      <c r="B49" s="3" t="s">
        <v>77</v>
      </c>
      <c r="C49" s="4" t="s">
        <v>79</v>
      </c>
      <c r="D49" s="5"/>
      <c r="E49" s="5"/>
      <c r="F49" s="4" t="s">
        <v>80</v>
      </c>
    </row>
    <row r="50" spans="1:6" x14ac:dyDescent="0.25">
      <c r="A50" s="6">
        <v>48</v>
      </c>
      <c r="B50" s="6" t="s">
        <v>77</v>
      </c>
      <c r="C50" s="7" t="s">
        <v>81</v>
      </c>
      <c r="D50" s="5"/>
      <c r="E50" s="5"/>
      <c r="F50" s="7" t="s">
        <v>78</v>
      </c>
    </row>
    <row r="51" spans="1:6" x14ac:dyDescent="0.25">
      <c r="A51" s="3">
        <v>49</v>
      </c>
      <c r="B51" s="3" t="s">
        <v>82</v>
      </c>
      <c r="C51" s="4" t="s">
        <v>83</v>
      </c>
      <c r="D51" s="5"/>
      <c r="E51" s="5"/>
      <c r="F51" s="4" t="s">
        <v>84</v>
      </c>
    </row>
    <row r="52" spans="1:6" x14ac:dyDescent="0.25">
      <c r="A52" s="6">
        <v>50</v>
      </c>
      <c r="B52" s="6" t="s">
        <v>82</v>
      </c>
      <c r="C52" s="7" t="s">
        <v>85</v>
      </c>
      <c r="D52" s="5"/>
      <c r="E52" s="5"/>
      <c r="F52" s="7" t="s">
        <v>86</v>
      </c>
    </row>
    <row r="53" spans="1:6" x14ac:dyDescent="0.25">
      <c r="A53" s="3">
        <v>51</v>
      </c>
      <c r="B53" s="3" t="s">
        <v>82</v>
      </c>
      <c r="C53" s="4" t="s">
        <v>83</v>
      </c>
      <c r="D53" s="5"/>
      <c r="E53" s="5"/>
      <c r="F53" s="4" t="s">
        <v>85</v>
      </c>
    </row>
    <row r="54" spans="1:6" x14ac:dyDescent="0.25">
      <c r="A54" s="6">
        <v>52</v>
      </c>
      <c r="B54" s="6" t="s">
        <v>82</v>
      </c>
      <c r="C54" s="7" t="s">
        <v>86</v>
      </c>
      <c r="D54" s="5"/>
      <c r="E54" s="5"/>
      <c r="F54" s="7" t="s">
        <v>84</v>
      </c>
    </row>
    <row r="55" spans="1:6" x14ac:dyDescent="0.25">
      <c r="A55" s="3">
        <v>53</v>
      </c>
      <c r="B55" s="3" t="s">
        <v>82</v>
      </c>
      <c r="C55" s="4" t="s">
        <v>86</v>
      </c>
      <c r="D55" s="5"/>
      <c r="E55" s="5"/>
      <c r="F55" s="4" t="s">
        <v>83</v>
      </c>
    </row>
    <row r="56" spans="1:6" x14ac:dyDescent="0.25">
      <c r="A56" s="6">
        <v>54</v>
      </c>
      <c r="B56" s="6" t="s">
        <v>82</v>
      </c>
      <c r="C56" s="7" t="s">
        <v>84</v>
      </c>
      <c r="D56" s="5"/>
      <c r="E56" s="5"/>
      <c r="F56" s="7" t="s">
        <v>85</v>
      </c>
    </row>
    <row r="57" spans="1:6" x14ac:dyDescent="0.25">
      <c r="A57" s="3">
        <v>55</v>
      </c>
      <c r="B57" s="3" t="s">
        <v>87</v>
      </c>
      <c r="C57" s="4" t="s">
        <v>88</v>
      </c>
      <c r="D57" s="5"/>
      <c r="E57" s="5"/>
      <c r="F57" s="4" t="s">
        <v>89</v>
      </c>
    </row>
    <row r="58" spans="1:6" x14ac:dyDescent="0.25">
      <c r="A58" s="6">
        <v>56</v>
      </c>
      <c r="B58" s="6" t="s">
        <v>87</v>
      </c>
      <c r="C58" s="7" t="s">
        <v>90</v>
      </c>
      <c r="D58" s="5"/>
      <c r="E58" s="5"/>
      <c r="F58" s="7" t="s">
        <v>91</v>
      </c>
    </row>
    <row r="59" spans="1:6" x14ac:dyDescent="0.25">
      <c r="A59" s="3">
        <v>57</v>
      </c>
      <c r="B59" s="3" t="s">
        <v>87</v>
      </c>
      <c r="C59" s="4" t="s">
        <v>88</v>
      </c>
      <c r="D59" s="5"/>
      <c r="E59" s="5"/>
      <c r="F59" s="4" t="s">
        <v>90</v>
      </c>
    </row>
    <row r="60" spans="1:6" x14ac:dyDescent="0.25">
      <c r="A60" s="6">
        <v>58</v>
      </c>
      <c r="B60" s="6" t="s">
        <v>87</v>
      </c>
      <c r="C60" s="7" t="s">
        <v>91</v>
      </c>
      <c r="D60" s="5"/>
      <c r="E60" s="5"/>
      <c r="F60" s="7" t="s">
        <v>89</v>
      </c>
    </row>
    <row r="61" spans="1:6" x14ac:dyDescent="0.25">
      <c r="A61" s="3">
        <v>59</v>
      </c>
      <c r="B61" s="3" t="s">
        <v>87</v>
      </c>
      <c r="C61" s="4" t="s">
        <v>89</v>
      </c>
      <c r="D61" s="5"/>
      <c r="E61" s="5"/>
      <c r="F61" s="4" t="s">
        <v>90</v>
      </c>
    </row>
    <row r="62" spans="1:6" x14ac:dyDescent="0.25">
      <c r="A62" s="6">
        <v>60</v>
      </c>
      <c r="B62" s="6" t="s">
        <v>87</v>
      </c>
      <c r="C62" s="7" t="s">
        <v>91</v>
      </c>
      <c r="D62" s="5"/>
      <c r="E62" s="5"/>
      <c r="F62" s="7" t="s">
        <v>88</v>
      </c>
    </row>
    <row r="63" spans="1:6" x14ac:dyDescent="0.25">
      <c r="A63" s="3">
        <v>61</v>
      </c>
      <c r="B63" s="3" t="s">
        <v>92</v>
      </c>
      <c r="C63" s="4" t="s">
        <v>93</v>
      </c>
      <c r="D63" s="5"/>
      <c r="E63" s="5"/>
      <c r="F63" s="4" t="s">
        <v>94</v>
      </c>
    </row>
    <row r="64" spans="1:6" x14ac:dyDescent="0.25">
      <c r="A64" s="6">
        <v>62</v>
      </c>
      <c r="B64" s="6" t="s">
        <v>92</v>
      </c>
      <c r="C64" s="7" t="s">
        <v>95</v>
      </c>
      <c r="D64" s="5"/>
      <c r="E64" s="5"/>
      <c r="F64" s="7" t="s">
        <v>96</v>
      </c>
    </row>
    <row r="65" spans="1:6" x14ac:dyDescent="0.25">
      <c r="A65" s="3">
        <v>63</v>
      </c>
      <c r="B65" s="3" t="s">
        <v>92</v>
      </c>
      <c r="C65" s="4" t="s">
        <v>93</v>
      </c>
      <c r="D65" s="5"/>
      <c r="E65" s="5"/>
      <c r="F65" s="4" t="s">
        <v>95</v>
      </c>
    </row>
    <row r="66" spans="1:6" x14ac:dyDescent="0.25">
      <c r="A66" s="6">
        <v>64</v>
      </c>
      <c r="B66" s="6" t="s">
        <v>92</v>
      </c>
      <c r="C66" s="7" t="s">
        <v>96</v>
      </c>
      <c r="D66" s="5"/>
      <c r="E66" s="5"/>
      <c r="F66" s="7" t="s">
        <v>94</v>
      </c>
    </row>
    <row r="67" spans="1:6" x14ac:dyDescent="0.25">
      <c r="A67" s="3">
        <v>65</v>
      </c>
      <c r="B67" s="3" t="s">
        <v>92</v>
      </c>
      <c r="C67" s="4" t="s">
        <v>96</v>
      </c>
      <c r="D67" s="5"/>
      <c r="E67" s="5"/>
      <c r="F67" s="4" t="s">
        <v>93</v>
      </c>
    </row>
    <row r="68" spans="1:6" x14ac:dyDescent="0.25">
      <c r="A68" s="6">
        <v>66</v>
      </c>
      <c r="B68" s="6" t="s">
        <v>92</v>
      </c>
      <c r="C68" s="7" t="s">
        <v>94</v>
      </c>
      <c r="D68" s="5"/>
      <c r="E68" s="5"/>
      <c r="F68" s="7" t="s">
        <v>95</v>
      </c>
    </row>
    <row r="69" spans="1:6" x14ac:dyDescent="0.25">
      <c r="A69" s="3">
        <v>67</v>
      </c>
      <c r="B69" s="3" t="s">
        <v>97</v>
      </c>
      <c r="C69" s="4" t="s">
        <v>98</v>
      </c>
      <c r="D69" s="5"/>
      <c r="E69" s="5"/>
      <c r="F69" s="4" t="s">
        <v>99</v>
      </c>
    </row>
    <row r="70" spans="1:6" x14ac:dyDescent="0.25">
      <c r="A70" s="6">
        <v>68</v>
      </c>
      <c r="B70" s="6" t="s">
        <v>97</v>
      </c>
      <c r="C70" s="7" t="s">
        <v>100</v>
      </c>
      <c r="D70" s="5"/>
      <c r="E70" s="5"/>
      <c r="F70" s="7" t="s">
        <v>101</v>
      </c>
    </row>
    <row r="71" spans="1:6" x14ac:dyDescent="0.25">
      <c r="A71" s="3">
        <v>69</v>
      </c>
      <c r="B71" s="3" t="s">
        <v>97</v>
      </c>
      <c r="C71" s="4" t="s">
        <v>98</v>
      </c>
      <c r="D71" s="5"/>
      <c r="E71" s="5"/>
      <c r="F71" s="4" t="s">
        <v>100</v>
      </c>
    </row>
    <row r="72" spans="1:6" x14ac:dyDescent="0.25">
      <c r="A72" s="6">
        <v>70</v>
      </c>
      <c r="B72" s="6" t="s">
        <v>97</v>
      </c>
      <c r="C72" s="7" t="s">
        <v>101</v>
      </c>
      <c r="D72" s="5"/>
      <c r="E72" s="5"/>
      <c r="F72" s="7" t="s">
        <v>99</v>
      </c>
    </row>
    <row r="73" spans="1:6" x14ac:dyDescent="0.25">
      <c r="A73" s="3">
        <v>71</v>
      </c>
      <c r="B73" s="3" t="s">
        <v>97</v>
      </c>
      <c r="C73" s="4" t="s">
        <v>101</v>
      </c>
      <c r="D73" s="5"/>
      <c r="E73" s="5"/>
      <c r="F73" s="4" t="s">
        <v>98</v>
      </c>
    </row>
    <row r="74" spans="1:6" x14ac:dyDescent="0.25">
      <c r="A74" s="6">
        <v>72</v>
      </c>
      <c r="B74" s="6" t="s">
        <v>97</v>
      </c>
      <c r="C74" s="7" t="s">
        <v>99</v>
      </c>
      <c r="D74" s="5"/>
      <c r="E74" s="5"/>
      <c r="F74" s="7" t="s">
        <v>100</v>
      </c>
    </row>
  </sheetData>
  <mergeCells count="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196F3"/>
  </sheetPr>
  <dimension ref="A1:J87"/>
  <sheetViews>
    <sheetView showGridLines="0" workbookViewId="0"/>
  </sheetViews>
  <sheetFormatPr baseColWidth="10" defaultColWidth="9.140625" defaultRowHeight="15" x14ac:dyDescent="0.25"/>
  <cols>
    <col min="1" max="1" width="18" customWidth="1"/>
    <col min="2" max="4" width="16" customWidth="1"/>
    <col min="5" max="7" width="9" customWidth="1"/>
    <col min="8" max="8" width="11" customWidth="1"/>
    <col min="9" max="9" width="14" customWidth="1"/>
    <col min="10" max="10" width="13" customWidth="1"/>
  </cols>
  <sheetData>
    <row r="1" spans="1:10" ht="26.1" customHeight="1" x14ac:dyDescent="0.25">
      <c r="A1" s="32" t="s">
        <v>102</v>
      </c>
      <c r="B1" s="27"/>
      <c r="C1" s="27"/>
      <c r="D1" s="27"/>
      <c r="E1" s="27"/>
      <c r="F1" s="27"/>
      <c r="G1" s="27"/>
      <c r="H1" s="27"/>
      <c r="I1" s="27"/>
      <c r="J1" s="27"/>
    </row>
    <row r="2" spans="1:10" x14ac:dyDescent="0.25">
      <c r="A2" s="2" t="s">
        <v>37</v>
      </c>
      <c r="B2" s="2" t="s">
        <v>103</v>
      </c>
      <c r="C2" s="2" t="s">
        <v>104</v>
      </c>
      <c r="D2" s="2" t="s">
        <v>105</v>
      </c>
      <c r="E2" s="2" t="s">
        <v>106</v>
      </c>
      <c r="F2" s="2" t="s">
        <v>107</v>
      </c>
      <c r="G2" s="2" t="s">
        <v>108</v>
      </c>
      <c r="H2" s="2" t="s">
        <v>109</v>
      </c>
      <c r="I2" s="2" t="s">
        <v>110</v>
      </c>
      <c r="J2" s="2" t="s">
        <v>111</v>
      </c>
    </row>
    <row r="3" spans="1:10" x14ac:dyDescent="0.25">
      <c r="A3" s="8" t="s">
        <v>112</v>
      </c>
      <c r="B3" s="9" t="str">
        <f>INDEX($A$18:$A$21,MATCH(1,$G$18:$G$21,0))</f>
        <v>México</v>
      </c>
      <c r="C3" s="9" t="str">
        <f>INDEX($A$18:$A$21,MATCH(2,$G$18:$G$21,0))</f>
        <v>Corea del Sur</v>
      </c>
      <c r="D3" s="9" t="str">
        <f>INDEX($A$18:$A$21,MATCH(3,$G$18:$G$21,0))</f>
        <v>Rep. Checa</v>
      </c>
      <c r="E3" s="9">
        <f>INDEX($B$18:$B$21,MATCH(3,$G$18:$G$21,0))</f>
        <v>4</v>
      </c>
      <c r="F3" s="9">
        <f>INDEX($E$18:$E$21,MATCH(3,$G$18:$G$21,0))</f>
        <v>1</v>
      </c>
      <c r="G3" s="9">
        <f>INDEX($C$18:$C$21,MATCH(3,$G$18:$G$21,0))</f>
        <v>4</v>
      </c>
      <c r="H3" s="9">
        <f t="shared" ref="H3:H14" si="0">E3*10000+(F3+30)*100+G3</f>
        <v>43104</v>
      </c>
      <c r="I3" s="9">
        <f t="shared" ref="I3:I14" si="1">RANK(H3,$H$3:$H$14)</f>
        <v>1</v>
      </c>
      <c r="J3" s="9" t="str">
        <f t="shared" ref="J3:J14" si="2">IF(I3&lt;=8,"Sí ✅","No")</f>
        <v>Sí ✅</v>
      </c>
    </row>
    <row r="4" spans="1:10" x14ac:dyDescent="0.25">
      <c r="A4" s="10" t="s">
        <v>113</v>
      </c>
      <c r="B4" s="11" t="str">
        <f>INDEX($A$24:$A$27,MATCH(1,$G$24:$G$27,0))</f>
        <v>Canadá</v>
      </c>
      <c r="C4" s="11" t="str">
        <f>INDEX($A$24:$A$27,MATCH(2,$G$24:$G$27,0))</f>
        <v>Qatar</v>
      </c>
      <c r="D4" s="11" t="str">
        <f>INDEX($A$24:$A$27,MATCH(3,$G$24:$G$27,0))</f>
        <v>Suiza</v>
      </c>
      <c r="E4" s="11">
        <f>INDEX($B$24:$B$27,MATCH(3,$G$24:$G$27,0))</f>
        <v>1</v>
      </c>
      <c r="F4" s="11">
        <f>INDEX($E$24:$E$27,MATCH(3,$G$24:$G$27,0))</f>
        <v>0</v>
      </c>
      <c r="G4" s="11">
        <f>INDEX($C$24:$C$27,MATCH(3,$G$24:$G$27,0))</f>
        <v>1</v>
      </c>
      <c r="H4" s="11">
        <f t="shared" si="0"/>
        <v>13001</v>
      </c>
      <c r="I4" s="11">
        <f t="shared" si="1"/>
        <v>2</v>
      </c>
      <c r="J4" s="11" t="str">
        <f t="shared" si="2"/>
        <v>Sí ✅</v>
      </c>
    </row>
    <row r="5" spans="1:10" x14ac:dyDescent="0.25">
      <c r="A5" s="8" t="s">
        <v>114</v>
      </c>
      <c r="B5" s="9" t="str">
        <f>INDEX($A$30:$A$33,MATCH(1,$G$30:$G$33,0))</f>
        <v>Brasil</v>
      </c>
      <c r="C5" s="9" t="str">
        <f>INDEX($A$30:$A$33,MATCH(2,$G$30:$G$33,0))</f>
        <v>Marruecos</v>
      </c>
      <c r="D5" s="9" t="str">
        <f>INDEX($A$30:$A$33,MATCH(3,$G$30:$G$33,0))</f>
        <v>Haití</v>
      </c>
      <c r="E5" s="9">
        <f>INDEX($B$30:$B$33,MATCH(3,$G$30:$G$33,0))</f>
        <v>0</v>
      </c>
      <c r="F5" s="9">
        <f>INDEX($E$30:$E$33,MATCH(3,$G$30:$G$33,0))</f>
        <v>0</v>
      </c>
      <c r="G5" s="9">
        <f>INDEX($C$30:$C$33,MATCH(3,$G$30:$G$33,0))</f>
        <v>0</v>
      </c>
      <c r="H5" s="9">
        <f t="shared" si="0"/>
        <v>3000</v>
      </c>
      <c r="I5" s="9">
        <f t="shared" si="1"/>
        <v>3</v>
      </c>
      <c r="J5" s="9" t="str">
        <f t="shared" si="2"/>
        <v>Sí ✅</v>
      </c>
    </row>
    <row r="6" spans="1:10" x14ac:dyDescent="0.25">
      <c r="A6" s="10" t="s">
        <v>115</v>
      </c>
      <c r="B6" s="11" t="str">
        <f>INDEX($A$36:$A$39,MATCH(1,$G$36:$G$39,0))</f>
        <v>Estados Unidos</v>
      </c>
      <c r="C6" s="11" t="str">
        <f>INDEX($A$36:$A$39,MATCH(2,$G$36:$G$39,0))</f>
        <v>Paraguay</v>
      </c>
      <c r="D6" s="11" t="str">
        <f>INDEX($A$36:$A$39,MATCH(3,$G$36:$G$39,0))</f>
        <v>Australia</v>
      </c>
      <c r="E6" s="11">
        <f>INDEX($B$36:$B$39,MATCH(3,$G$36:$G$39,0))</f>
        <v>0</v>
      </c>
      <c r="F6" s="11">
        <f>INDEX($E$36:$E$39,MATCH(3,$G$36:$G$39,0))</f>
        <v>0</v>
      </c>
      <c r="G6" s="11">
        <f>INDEX($C$36:$C$39,MATCH(3,$G$36:$G$39,0))</f>
        <v>0</v>
      </c>
      <c r="H6" s="11">
        <f t="shared" si="0"/>
        <v>3000</v>
      </c>
      <c r="I6" s="11">
        <f t="shared" si="1"/>
        <v>3</v>
      </c>
      <c r="J6" s="11" t="str">
        <f t="shared" si="2"/>
        <v>Sí ✅</v>
      </c>
    </row>
    <row r="7" spans="1:10" x14ac:dyDescent="0.25">
      <c r="A7" s="8" t="s">
        <v>116</v>
      </c>
      <c r="B7" s="9" t="str">
        <f>INDEX($A$42:$A$45,MATCH(1,$G$42:$G$45,0))</f>
        <v>Alemania</v>
      </c>
      <c r="C7" s="9" t="str">
        <f>INDEX($A$42:$A$45,MATCH(2,$G$42:$G$45,0))</f>
        <v>Curazao</v>
      </c>
      <c r="D7" s="9" t="str">
        <f>INDEX($A$42:$A$45,MATCH(3,$G$42:$G$45,0))</f>
        <v>Costa de Marfil</v>
      </c>
      <c r="E7" s="9">
        <f>INDEX($B$42:$B$45,MATCH(3,$G$42:$G$45,0))</f>
        <v>0</v>
      </c>
      <c r="F7" s="9">
        <f>INDEX($E$42:$E$45,MATCH(3,$G$42:$G$45,0))</f>
        <v>0</v>
      </c>
      <c r="G7" s="9">
        <f>INDEX($C$42:$C$45,MATCH(3,$G$42:$G$45,0))</f>
        <v>0</v>
      </c>
      <c r="H7" s="9">
        <f t="shared" si="0"/>
        <v>3000</v>
      </c>
      <c r="I7" s="9">
        <f t="shared" si="1"/>
        <v>3</v>
      </c>
      <c r="J7" s="9" t="str">
        <f t="shared" si="2"/>
        <v>Sí ✅</v>
      </c>
    </row>
    <row r="8" spans="1:10" x14ac:dyDescent="0.25">
      <c r="A8" s="10" t="s">
        <v>117</v>
      </c>
      <c r="B8" s="11" t="str">
        <f>INDEX($A$48:$A$51,MATCH(1,$G$48:$G$51,0))</f>
        <v>Países Bajos</v>
      </c>
      <c r="C8" s="11" t="str">
        <f>INDEX($A$48:$A$51,MATCH(2,$G$48:$G$51,0))</f>
        <v>Japón</v>
      </c>
      <c r="D8" s="11" t="str">
        <f>INDEX($A$48:$A$51,MATCH(3,$G$48:$G$51,0))</f>
        <v>Suecia</v>
      </c>
      <c r="E8" s="11">
        <f>INDEX($B$48:$B$51,MATCH(3,$G$48:$G$51,0))</f>
        <v>0</v>
      </c>
      <c r="F8" s="11">
        <f>INDEX($E$48:$E$51,MATCH(3,$G$48:$G$51,0))</f>
        <v>0</v>
      </c>
      <c r="G8" s="11">
        <f>INDEX($C$48:$C$51,MATCH(3,$G$48:$G$51,0))</f>
        <v>0</v>
      </c>
      <c r="H8" s="11">
        <f t="shared" si="0"/>
        <v>3000</v>
      </c>
      <c r="I8" s="11">
        <f t="shared" si="1"/>
        <v>3</v>
      </c>
      <c r="J8" s="11" t="str">
        <f t="shared" si="2"/>
        <v>Sí ✅</v>
      </c>
    </row>
    <row r="9" spans="1:10" x14ac:dyDescent="0.25">
      <c r="A9" s="8" t="s">
        <v>118</v>
      </c>
      <c r="B9" s="9" t="str">
        <f>INDEX($A$54:$A$57,MATCH(1,$G$54:$G$57,0))</f>
        <v>Bélgica</v>
      </c>
      <c r="C9" s="9" t="str">
        <f>INDEX($A$54:$A$57,MATCH(2,$G$54:$G$57,0))</f>
        <v>Egipto</v>
      </c>
      <c r="D9" s="9" t="str">
        <f>INDEX($A$54:$A$57,MATCH(3,$G$54:$G$57,0))</f>
        <v>Irán</v>
      </c>
      <c r="E9" s="9">
        <f>INDEX($B$54:$B$57,MATCH(3,$G$54:$G$57,0))</f>
        <v>0</v>
      </c>
      <c r="F9" s="9">
        <f>INDEX($E$54:$E$57,MATCH(3,$G$54:$G$57,0))</f>
        <v>0</v>
      </c>
      <c r="G9" s="9">
        <f>INDEX($C$54:$C$57,MATCH(3,$G$54:$G$57,0))</f>
        <v>0</v>
      </c>
      <c r="H9" s="9">
        <f t="shared" si="0"/>
        <v>3000</v>
      </c>
      <c r="I9" s="9">
        <f t="shared" si="1"/>
        <v>3</v>
      </c>
      <c r="J9" s="9" t="str">
        <f t="shared" si="2"/>
        <v>Sí ✅</v>
      </c>
    </row>
    <row r="10" spans="1:10" x14ac:dyDescent="0.25">
      <c r="A10" s="10" t="s">
        <v>119</v>
      </c>
      <c r="B10" s="11" t="str">
        <f>INDEX($A$60:$A$63,MATCH(1,$G$60:$G$63,0))</f>
        <v>España</v>
      </c>
      <c r="C10" s="11" t="str">
        <f>INDEX($A$60:$A$63,MATCH(2,$G$60:$G$63,0))</f>
        <v>Cabo Verde</v>
      </c>
      <c r="D10" s="11" t="str">
        <f>INDEX($A$60:$A$63,MATCH(3,$G$60:$G$63,0))</f>
        <v>Arabia Saudita</v>
      </c>
      <c r="E10" s="11">
        <f>INDEX($B$60:$B$63,MATCH(3,$G$60:$G$63,0))</f>
        <v>0</v>
      </c>
      <c r="F10" s="11">
        <f>INDEX($E$60:$E$63,MATCH(3,$G$60:$G$63,0))</f>
        <v>0</v>
      </c>
      <c r="G10" s="11">
        <f>INDEX($C$60:$C$63,MATCH(3,$G$60:$G$63,0))</f>
        <v>0</v>
      </c>
      <c r="H10" s="11">
        <f t="shared" si="0"/>
        <v>3000</v>
      </c>
      <c r="I10" s="11">
        <f t="shared" si="1"/>
        <v>3</v>
      </c>
      <c r="J10" s="11" t="str">
        <f t="shared" si="2"/>
        <v>Sí ✅</v>
      </c>
    </row>
    <row r="11" spans="1:10" x14ac:dyDescent="0.25">
      <c r="A11" s="8" t="s">
        <v>120</v>
      </c>
      <c r="B11" s="9" t="str">
        <f>INDEX($A$66:$A$69,MATCH(1,$G$66:$G$69,0))</f>
        <v>Francia</v>
      </c>
      <c r="C11" s="9" t="str">
        <f>INDEX($A$66:$A$69,MATCH(2,$G$66:$G$69,0))</f>
        <v>Senegal</v>
      </c>
      <c r="D11" s="9" t="str">
        <f>INDEX($A$66:$A$69,MATCH(3,$G$66:$G$69,0))</f>
        <v>Irak</v>
      </c>
      <c r="E11" s="9">
        <f>INDEX($B$66:$B$69,MATCH(3,$G$66:$G$69,0))</f>
        <v>0</v>
      </c>
      <c r="F11" s="9">
        <f>INDEX($E$66:$E$69,MATCH(3,$G$66:$G$69,0))</f>
        <v>0</v>
      </c>
      <c r="G11" s="9">
        <f>INDEX($C$66:$C$69,MATCH(3,$G$66:$G$69,0))</f>
        <v>0</v>
      </c>
      <c r="H11" s="9">
        <f t="shared" si="0"/>
        <v>3000</v>
      </c>
      <c r="I11" s="9">
        <f t="shared" si="1"/>
        <v>3</v>
      </c>
      <c r="J11" s="9" t="str">
        <f t="shared" si="2"/>
        <v>Sí ✅</v>
      </c>
    </row>
    <row r="12" spans="1:10" x14ac:dyDescent="0.25">
      <c r="A12" s="10" t="s">
        <v>121</v>
      </c>
      <c r="B12" s="11" t="str">
        <f>INDEX($A$72:$A$75,MATCH(1,$G$72:$G$75,0))</f>
        <v>Argentina</v>
      </c>
      <c r="C12" s="11" t="str">
        <f>INDEX($A$72:$A$75,MATCH(2,$G$72:$G$75,0))</f>
        <v>Argelia</v>
      </c>
      <c r="D12" s="11" t="str">
        <f>INDEX($A$72:$A$75,MATCH(3,$G$72:$G$75,0))</f>
        <v>Austria</v>
      </c>
      <c r="E12" s="11">
        <f>INDEX($B$72:$B$75,MATCH(3,$G$72:$G$75,0))</f>
        <v>0</v>
      </c>
      <c r="F12" s="11">
        <f>INDEX($E$72:$E$75,MATCH(3,$G$72:$G$75,0))</f>
        <v>0</v>
      </c>
      <c r="G12" s="11">
        <f>INDEX($C$72:$C$75,MATCH(3,$G$72:$G$75,0))</f>
        <v>0</v>
      </c>
      <c r="H12" s="11">
        <f t="shared" si="0"/>
        <v>3000</v>
      </c>
      <c r="I12" s="11">
        <f t="shared" si="1"/>
        <v>3</v>
      </c>
      <c r="J12" s="11" t="str">
        <f t="shared" si="2"/>
        <v>Sí ✅</v>
      </c>
    </row>
    <row r="13" spans="1:10" x14ac:dyDescent="0.25">
      <c r="A13" s="8" t="s">
        <v>122</v>
      </c>
      <c r="B13" s="9" t="str">
        <f>INDEX($A$78:$A$81,MATCH(1,$G$78:$G$81,0))</f>
        <v>Portugal</v>
      </c>
      <c r="C13" s="9" t="str">
        <f>INDEX($A$78:$A$81,MATCH(2,$G$78:$G$81,0))</f>
        <v>Rep. Dem. del Congo</v>
      </c>
      <c r="D13" s="9" t="str">
        <f>INDEX($A$78:$A$81,MATCH(3,$G$78:$G$81,0))</f>
        <v>Uzbekistán</v>
      </c>
      <c r="E13" s="9">
        <f>INDEX($B$78:$B$81,MATCH(3,$G$78:$G$81,0))</f>
        <v>0</v>
      </c>
      <c r="F13" s="9">
        <f>INDEX($E$78:$E$81,MATCH(3,$G$78:$G$81,0))</f>
        <v>0</v>
      </c>
      <c r="G13" s="9">
        <f>INDEX($C$78:$C$81,MATCH(3,$G$78:$G$81,0))</f>
        <v>0</v>
      </c>
      <c r="H13" s="9">
        <f t="shared" si="0"/>
        <v>3000</v>
      </c>
      <c r="I13" s="9">
        <f t="shared" si="1"/>
        <v>3</v>
      </c>
      <c r="J13" s="9" t="str">
        <f t="shared" si="2"/>
        <v>Sí ✅</v>
      </c>
    </row>
    <row r="14" spans="1:10" x14ac:dyDescent="0.25">
      <c r="A14" s="10" t="s">
        <v>123</v>
      </c>
      <c r="B14" s="11" t="str">
        <f>INDEX($A$84:$A$87,MATCH(1,$G$84:$G$87,0))</f>
        <v>Inglaterra</v>
      </c>
      <c r="C14" s="11" t="str">
        <f>INDEX($A$84:$A$87,MATCH(2,$G$84:$G$87,0))</f>
        <v>Croacia</v>
      </c>
      <c r="D14" s="11" t="str">
        <f>INDEX($A$84:$A$87,MATCH(3,$G$84:$G$87,0))</f>
        <v>Ghana</v>
      </c>
      <c r="E14" s="11">
        <f>INDEX($B$84:$B$87,MATCH(3,$G$84:$G$87,0))</f>
        <v>0</v>
      </c>
      <c r="F14" s="11">
        <f>INDEX($E$84:$E$87,MATCH(3,$G$84:$G$87,0))</f>
        <v>0</v>
      </c>
      <c r="G14" s="11">
        <f>INDEX($C$84:$C$87,MATCH(3,$G$84:$G$87,0))</f>
        <v>0</v>
      </c>
      <c r="H14" s="11">
        <f t="shared" si="0"/>
        <v>3000</v>
      </c>
      <c r="I14" s="11">
        <f t="shared" si="1"/>
        <v>3</v>
      </c>
      <c r="J14" s="11" t="str">
        <f t="shared" si="2"/>
        <v>Sí ✅</v>
      </c>
    </row>
    <row r="17" spans="1:7" x14ac:dyDescent="0.25">
      <c r="A17" s="2" t="s">
        <v>112</v>
      </c>
      <c r="B17" s="12" t="s">
        <v>124</v>
      </c>
      <c r="C17" s="12" t="s">
        <v>125</v>
      </c>
      <c r="D17" s="12" t="s">
        <v>126</v>
      </c>
      <c r="E17" s="12" t="s">
        <v>127</v>
      </c>
      <c r="F17" s="12" t="s">
        <v>128</v>
      </c>
      <c r="G17" s="12" t="s">
        <v>129</v>
      </c>
    </row>
    <row r="18" spans="1:7" x14ac:dyDescent="0.25">
      <c r="A18" s="4" t="s">
        <v>43</v>
      </c>
      <c r="B18" s="13">
        <f>SUMPRODUCT(('Fase de Grupos'!$C$3:$C$8=$A18)*ISNUMBER('Fase de Grupos'!$D$3:$D$8)*ISNUMBER('Fase de Grupos'!$E$3:$E$8)*('Fase de Grupos'!$D$3:$D$8&gt;'Fase de Grupos'!$E$3:$E$8))*3+SUMPRODUCT(('Fase de Grupos'!$F$3:$F$8=$A18)*ISNUMBER('Fase de Grupos'!$D$3:$D$8)*ISNUMBER('Fase de Grupos'!$E$3:$E$8)*('Fase de Grupos'!$E$3:$E$8&gt;'Fase de Grupos'!$D$3:$D$8))*3+SUMPRODUCT(('Fase de Grupos'!$C$3:$C$8=$A18)*ISNUMBER('Fase de Grupos'!$D$3:$D$8)*ISNUMBER('Fase de Grupos'!$E$3:$E$8)*('Fase de Grupos'!$D$3:$D$8='Fase de Grupos'!$E$3:$E$8))+SUMPRODUCT(('Fase de Grupos'!$F$3:$F$8=$A18)*ISNUMBER('Fase de Grupos'!$D$3:$D$8)*ISNUMBER('Fase de Grupos'!$E$3:$E$8)*('Fase de Grupos'!$E$3:$E$8='Fase de Grupos'!$D$3:$D$8))</f>
        <v>7</v>
      </c>
      <c r="C18" s="13">
        <f>SUMPRODUCT(('Fase de Grupos'!$C$3:$C$8=$A18)*ISNUMBER('Fase de Grupos'!$D$3:$D$8)*ISNUMBER('Fase de Grupos'!$E$3:$E$8)*'Fase de Grupos'!$D$3:$D$8)+SUMPRODUCT(('Fase de Grupos'!$F$3:$F$8=$A18)*ISNUMBER('Fase de Grupos'!$D$3:$D$8)*ISNUMBER('Fase de Grupos'!$E$3:$E$8)*'Fase de Grupos'!$E$3:$E$8)</f>
        <v>6</v>
      </c>
      <c r="D18" s="13">
        <f>SUMPRODUCT(('Fase de Grupos'!$C$3:$C$8=$A18)*ISNUMBER('Fase de Grupos'!$D$3:$D$8)*ISNUMBER('Fase de Grupos'!$E$3:$E$8)*'Fase de Grupos'!$E$3:$E$8)+SUMPRODUCT(('Fase de Grupos'!$F$3:$F$8=$A18)*ISNUMBER('Fase de Grupos'!$D$3:$D$8)*ISNUMBER('Fase de Grupos'!$E$3:$E$8)*'Fase de Grupos'!$D$3:$D$8)</f>
        <v>2</v>
      </c>
      <c r="E18" s="13">
        <f>C18-D18</f>
        <v>4</v>
      </c>
      <c r="F18" s="13">
        <f>B18*10000+(E18+30)*100+C18-0*0.001</f>
        <v>73406</v>
      </c>
      <c r="G18" s="13">
        <f>RANK(F18,$F$18:$F$21)</f>
        <v>1</v>
      </c>
    </row>
    <row r="19" spans="1:7" x14ac:dyDescent="0.25">
      <c r="A19" s="7" t="s">
        <v>44</v>
      </c>
      <c r="B19" s="14">
        <f>SUMPRODUCT(('Fase de Grupos'!$C$3:$C$8=$A19)*ISNUMBER('Fase de Grupos'!$D$3:$D$8)*ISNUMBER('Fase de Grupos'!$E$3:$E$8)*('Fase de Grupos'!$D$3:$D$8&gt;'Fase de Grupos'!$E$3:$E$8))*3+SUMPRODUCT(('Fase de Grupos'!$F$3:$F$8=$A19)*ISNUMBER('Fase de Grupos'!$D$3:$D$8)*ISNUMBER('Fase de Grupos'!$E$3:$E$8)*('Fase de Grupos'!$E$3:$E$8&gt;'Fase de Grupos'!$D$3:$D$8))*3+SUMPRODUCT(('Fase de Grupos'!$C$3:$C$8=$A19)*ISNUMBER('Fase de Grupos'!$D$3:$D$8)*ISNUMBER('Fase de Grupos'!$E$3:$E$8)*('Fase de Grupos'!$D$3:$D$8='Fase de Grupos'!$E$3:$E$8))+SUMPRODUCT(('Fase de Grupos'!$F$3:$F$8=$A19)*ISNUMBER('Fase de Grupos'!$D$3:$D$8)*ISNUMBER('Fase de Grupos'!$E$3:$E$8)*('Fase de Grupos'!$E$3:$E$8='Fase de Grupos'!$D$3:$D$8))</f>
        <v>0</v>
      </c>
      <c r="C19" s="14">
        <f>SUMPRODUCT(('Fase de Grupos'!$C$3:$C$8=$A19)*ISNUMBER('Fase de Grupos'!$D$3:$D$8)*ISNUMBER('Fase de Grupos'!$E$3:$E$8)*'Fase de Grupos'!$D$3:$D$8)+SUMPRODUCT(('Fase de Grupos'!$F$3:$F$8=$A19)*ISNUMBER('Fase de Grupos'!$D$3:$D$8)*ISNUMBER('Fase de Grupos'!$E$3:$E$8)*'Fase de Grupos'!$E$3:$E$8)</f>
        <v>1</v>
      </c>
      <c r="D19" s="14">
        <f>SUMPRODUCT(('Fase de Grupos'!$C$3:$C$8=$A19)*ISNUMBER('Fase de Grupos'!$D$3:$D$8)*ISNUMBER('Fase de Grupos'!$E$3:$E$8)*'Fase de Grupos'!$E$3:$E$8)+SUMPRODUCT(('Fase de Grupos'!$F$3:$F$8=$A19)*ISNUMBER('Fase de Grupos'!$D$3:$D$8)*ISNUMBER('Fase de Grupos'!$E$3:$E$8)*'Fase de Grupos'!$D$3:$D$8)</f>
        <v>7</v>
      </c>
      <c r="E19" s="14">
        <f>C19-D19</f>
        <v>-6</v>
      </c>
      <c r="F19" s="14">
        <f>B19*10000+(E19+30)*100+C19-1*0.001</f>
        <v>2400.9989999999998</v>
      </c>
      <c r="G19" s="14">
        <f>RANK(F19,$F$18:$F$21)</f>
        <v>4</v>
      </c>
    </row>
    <row r="20" spans="1:7" x14ac:dyDescent="0.25">
      <c r="A20" s="4" t="s">
        <v>45</v>
      </c>
      <c r="B20" s="13">
        <f>SUMPRODUCT(('Fase de Grupos'!$C$3:$C$8=$A20)*ISNUMBER('Fase de Grupos'!$D$3:$D$8)*ISNUMBER('Fase de Grupos'!$E$3:$E$8)*('Fase de Grupos'!$D$3:$D$8&gt;'Fase de Grupos'!$E$3:$E$8))*3+SUMPRODUCT(('Fase de Grupos'!$F$3:$F$8=$A20)*ISNUMBER('Fase de Grupos'!$D$3:$D$8)*ISNUMBER('Fase de Grupos'!$E$3:$E$8)*('Fase de Grupos'!$E$3:$E$8&gt;'Fase de Grupos'!$D$3:$D$8))*3+SUMPRODUCT(('Fase de Grupos'!$C$3:$C$8=$A20)*ISNUMBER('Fase de Grupos'!$D$3:$D$8)*ISNUMBER('Fase de Grupos'!$E$3:$E$8)*('Fase de Grupos'!$D$3:$D$8='Fase de Grupos'!$E$3:$E$8))+SUMPRODUCT(('Fase de Grupos'!$F$3:$F$8=$A20)*ISNUMBER('Fase de Grupos'!$D$3:$D$8)*ISNUMBER('Fase de Grupos'!$E$3:$E$8)*('Fase de Grupos'!$E$3:$E$8='Fase de Grupos'!$D$3:$D$8))</f>
        <v>6</v>
      </c>
      <c r="C20" s="13">
        <f>SUMPRODUCT(('Fase de Grupos'!$C$3:$C$8=$A20)*ISNUMBER('Fase de Grupos'!$D$3:$D$8)*ISNUMBER('Fase de Grupos'!$E$3:$E$8)*'Fase de Grupos'!$D$3:$D$8)+SUMPRODUCT(('Fase de Grupos'!$F$3:$F$8=$A20)*ISNUMBER('Fase de Grupos'!$D$3:$D$8)*ISNUMBER('Fase de Grupos'!$E$3:$E$8)*'Fase de Grupos'!$E$3:$E$8)</f>
        <v>5</v>
      </c>
      <c r="D20" s="13">
        <f>SUMPRODUCT(('Fase de Grupos'!$C$3:$C$8=$A20)*ISNUMBER('Fase de Grupos'!$D$3:$D$8)*ISNUMBER('Fase de Grupos'!$E$3:$E$8)*'Fase de Grupos'!$E$3:$E$8)+SUMPRODUCT(('Fase de Grupos'!$F$3:$F$8=$A20)*ISNUMBER('Fase de Grupos'!$D$3:$D$8)*ISNUMBER('Fase de Grupos'!$E$3:$E$8)*'Fase de Grupos'!$D$3:$D$8)</f>
        <v>4</v>
      </c>
      <c r="E20" s="13">
        <f>C20-D20</f>
        <v>1</v>
      </c>
      <c r="F20" s="13">
        <f>B20*10000+(E20+30)*100+C20-2*0.001</f>
        <v>63104.998</v>
      </c>
      <c r="G20" s="13">
        <f>RANK(F20,$F$18:$F$21)</f>
        <v>2</v>
      </c>
    </row>
    <row r="21" spans="1:7" x14ac:dyDescent="0.25">
      <c r="A21" s="7" t="s">
        <v>46</v>
      </c>
      <c r="B21" s="14">
        <f>SUMPRODUCT(('Fase de Grupos'!$C$3:$C$8=$A21)*ISNUMBER('Fase de Grupos'!$D$3:$D$8)*ISNUMBER('Fase de Grupos'!$E$3:$E$8)*('Fase de Grupos'!$D$3:$D$8&gt;'Fase de Grupos'!$E$3:$E$8))*3+SUMPRODUCT(('Fase de Grupos'!$F$3:$F$8=$A21)*ISNUMBER('Fase de Grupos'!$D$3:$D$8)*ISNUMBER('Fase de Grupos'!$E$3:$E$8)*('Fase de Grupos'!$E$3:$E$8&gt;'Fase de Grupos'!$D$3:$D$8))*3+SUMPRODUCT(('Fase de Grupos'!$C$3:$C$8=$A21)*ISNUMBER('Fase de Grupos'!$D$3:$D$8)*ISNUMBER('Fase de Grupos'!$E$3:$E$8)*('Fase de Grupos'!$D$3:$D$8='Fase de Grupos'!$E$3:$E$8))+SUMPRODUCT(('Fase de Grupos'!$F$3:$F$8=$A21)*ISNUMBER('Fase de Grupos'!$D$3:$D$8)*ISNUMBER('Fase de Grupos'!$E$3:$E$8)*('Fase de Grupos'!$E$3:$E$8='Fase de Grupos'!$D$3:$D$8))</f>
        <v>4</v>
      </c>
      <c r="C21" s="14">
        <f>SUMPRODUCT(('Fase de Grupos'!$C$3:$C$8=$A21)*ISNUMBER('Fase de Grupos'!$D$3:$D$8)*ISNUMBER('Fase de Grupos'!$E$3:$E$8)*'Fase de Grupos'!$D$3:$D$8)+SUMPRODUCT(('Fase de Grupos'!$F$3:$F$8=$A21)*ISNUMBER('Fase de Grupos'!$D$3:$D$8)*ISNUMBER('Fase de Grupos'!$E$3:$E$8)*'Fase de Grupos'!$E$3:$E$8)</f>
        <v>4</v>
      </c>
      <c r="D21" s="14">
        <f>SUMPRODUCT(('Fase de Grupos'!$C$3:$C$8=$A21)*ISNUMBER('Fase de Grupos'!$D$3:$D$8)*ISNUMBER('Fase de Grupos'!$E$3:$E$8)*'Fase de Grupos'!$E$3:$E$8)+SUMPRODUCT(('Fase de Grupos'!$F$3:$F$8=$A21)*ISNUMBER('Fase de Grupos'!$D$3:$D$8)*ISNUMBER('Fase de Grupos'!$E$3:$E$8)*'Fase de Grupos'!$D$3:$D$8)</f>
        <v>3</v>
      </c>
      <c r="E21" s="14">
        <f>C21-D21</f>
        <v>1</v>
      </c>
      <c r="F21" s="14">
        <f>B21*10000+(E21+30)*100+C21-3*0.001</f>
        <v>43103.997000000003</v>
      </c>
      <c r="G21" s="14">
        <f>RANK(F21,$F$18:$F$21)</f>
        <v>3</v>
      </c>
    </row>
    <row r="23" spans="1:7" x14ac:dyDescent="0.25">
      <c r="A23" s="2" t="s">
        <v>113</v>
      </c>
      <c r="B23" s="12" t="s">
        <v>124</v>
      </c>
      <c r="C23" s="12" t="s">
        <v>125</v>
      </c>
      <c r="D23" s="12" t="s">
        <v>126</v>
      </c>
      <c r="E23" s="12" t="s">
        <v>127</v>
      </c>
      <c r="F23" s="12" t="s">
        <v>128</v>
      </c>
      <c r="G23" s="12" t="s">
        <v>129</v>
      </c>
    </row>
    <row r="24" spans="1:7" x14ac:dyDescent="0.25">
      <c r="A24" s="4" t="s">
        <v>48</v>
      </c>
      <c r="B24" s="13">
        <f>SUMPRODUCT(('Fase de Grupos'!$C$9:$C$14=$A24)*ISNUMBER('Fase de Grupos'!$D$9:$D$14)*ISNUMBER('Fase de Grupos'!$E$9:$E$14)*('Fase de Grupos'!$D$9:$D$14&gt;'Fase de Grupos'!$E$9:$E$14))*3+SUMPRODUCT(('Fase de Grupos'!$F$9:$F$14=$A24)*ISNUMBER('Fase de Grupos'!$D$9:$D$14)*ISNUMBER('Fase de Grupos'!$E$9:$E$14)*('Fase de Grupos'!$E$9:$E$14&gt;'Fase de Grupos'!$D$9:$D$14))*3+SUMPRODUCT(('Fase de Grupos'!$C$9:$C$14=$A24)*ISNUMBER('Fase de Grupos'!$D$9:$D$14)*ISNUMBER('Fase de Grupos'!$E$9:$E$14)*('Fase de Grupos'!$D$9:$D$14='Fase de Grupos'!$E$9:$E$14))+SUMPRODUCT(('Fase de Grupos'!$F$9:$F$14=$A24)*ISNUMBER('Fase de Grupos'!$D$9:$D$14)*ISNUMBER('Fase de Grupos'!$E$9:$E$14)*('Fase de Grupos'!$E$9:$E$14='Fase de Grupos'!$D$9:$D$14))</f>
        <v>3</v>
      </c>
      <c r="C24" s="13">
        <f>SUMPRODUCT(('Fase de Grupos'!$C$9:$C$14=$A24)*ISNUMBER('Fase de Grupos'!$D$9:$D$14)*ISNUMBER('Fase de Grupos'!$E$9:$E$14)*'Fase de Grupos'!$D$9:$D$14)+SUMPRODUCT(('Fase de Grupos'!$F$9:$F$14=$A24)*ISNUMBER('Fase de Grupos'!$D$9:$D$14)*ISNUMBER('Fase de Grupos'!$E$9:$E$14)*'Fase de Grupos'!$E$9:$E$14)</f>
        <v>2</v>
      </c>
      <c r="D24" s="13">
        <f>SUMPRODUCT(('Fase de Grupos'!$C$9:$C$14=$A24)*ISNUMBER('Fase de Grupos'!$D$9:$D$14)*ISNUMBER('Fase de Grupos'!$E$9:$E$14)*'Fase de Grupos'!$E$9:$E$14)+SUMPRODUCT(('Fase de Grupos'!$F$9:$F$14=$A24)*ISNUMBER('Fase de Grupos'!$D$9:$D$14)*ISNUMBER('Fase de Grupos'!$E$9:$E$14)*'Fase de Grupos'!$D$9:$D$14)</f>
        <v>1</v>
      </c>
      <c r="E24" s="13">
        <f>C24-D24</f>
        <v>1</v>
      </c>
      <c r="F24" s="13">
        <f>B24*10000+(E24+30)*100+C24-0*0.001</f>
        <v>33102</v>
      </c>
      <c r="G24" s="13">
        <f>RANK(F24,$F$24:$F$27)</f>
        <v>1</v>
      </c>
    </row>
    <row r="25" spans="1:7" ht="25.5" x14ac:dyDescent="0.25">
      <c r="A25" s="7" t="s">
        <v>49</v>
      </c>
      <c r="B25" s="14">
        <f>SUMPRODUCT(('Fase de Grupos'!$C$9:$C$14=$A25)*ISNUMBER('Fase de Grupos'!$D$9:$D$14)*ISNUMBER('Fase de Grupos'!$E$9:$E$14)*('Fase de Grupos'!$D$9:$D$14&gt;'Fase de Grupos'!$E$9:$E$14))*3+SUMPRODUCT(('Fase de Grupos'!$F$9:$F$14=$A25)*ISNUMBER('Fase de Grupos'!$D$9:$D$14)*ISNUMBER('Fase de Grupos'!$E$9:$E$14)*('Fase de Grupos'!$E$9:$E$14&gt;'Fase de Grupos'!$D$9:$D$14))*3+SUMPRODUCT(('Fase de Grupos'!$C$9:$C$14=$A25)*ISNUMBER('Fase de Grupos'!$D$9:$D$14)*ISNUMBER('Fase de Grupos'!$E$9:$E$14)*('Fase de Grupos'!$D$9:$D$14='Fase de Grupos'!$E$9:$E$14))+SUMPRODUCT(('Fase de Grupos'!$F$9:$F$14=$A25)*ISNUMBER('Fase de Grupos'!$D$9:$D$14)*ISNUMBER('Fase de Grupos'!$E$9:$E$14)*('Fase de Grupos'!$E$9:$E$14='Fase de Grupos'!$D$9:$D$14))</f>
        <v>0</v>
      </c>
      <c r="C25" s="14">
        <f>SUMPRODUCT(('Fase de Grupos'!$C$9:$C$14=$A25)*ISNUMBER('Fase de Grupos'!$D$9:$D$14)*ISNUMBER('Fase de Grupos'!$E$9:$E$14)*'Fase de Grupos'!$D$9:$D$14)+SUMPRODUCT(('Fase de Grupos'!$F$9:$F$14=$A25)*ISNUMBER('Fase de Grupos'!$D$9:$D$14)*ISNUMBER('Fase de Grupos'!$E$9:$E$14)*'Fase de Grupos'!$E$9:$E$14)</f>
        <v>1</v>
      </c>
      <c r="D25" s="14">
        <f>SUMPRODUCT(('Fase de Grupos'!$C$9:$C$14=$A25)*ISNUMBER('Fase de Grupos'!$D$9:$D$14)*ISNUMBER('Fase de Grupos'!$E$9:$E$14)*'Fase de Grupos'!$E$9:$E$14)+SUMPRODUCT(('Fase de Grupos'!$F$9:$F$14=$A25)*ISNUMBER('Fase de Grupos'!$D$9:$D$14)*ISNUMBER('Fase de Grupos'!$E$9:$E$14)*'Fase de Grupos'!$D$9:$D$14)</f>
        <v>2</v>
      </c>
      <c r="E25" s="14">
        <f>C25-D25</f>
        <v>-1</v>
      </c>
      <c r="F25" s="14">
        <f>B25*10000+(E25+30)*100+C25-1*0.001</f>
        <v>2900.9989999999998</v>
      </c>
      <c r="G25" s="14">
        <f>RANK(F25,$F$24:$F$27)</f>
        <v>4</v>
      </c>
    </row>
    <row r="26" spans="1:7" x14ac:dyDescent="0.25">
      <c r="A26" s="4" t="s">
        <v>50</v>
      </c>
      <c r="B26" s="13">
        <f>SUMPRODUCT(('Fase de Grupos'!$C$9:$C$14=$A26)*ISNUMBER('Fase de Grupos'!$D$9:$D$14)*ISNUMBER('Fase de Grupos'!$E$9:$E$14)*('Fase de Grupos'!$D$9:$D$14&gt;'Fase de Grupos'!$E$9:$E$14))*3+SUMPRODUCT(('Fase de Grupos'!$F$9:$F$14=$A26)*ISNUMBER('Fase de Grupos'!$D$9:$D$14)*ISNUMBER('Fase de Grupos'!$E$9:$E$14)*('Fase de Grupos'!$E$9:$E$14&gt;'Fase de Grupos'!$D$9:$D$14))*3+SUMPRODUCT(('Fase de Grupos'!$C$9:$C$14=$A26)*ISNUMBER('Fase de Grupos'!$D$9:$D$14)*ISNUMBER('Fase de Grupos'!$E$9:$E$14)*('Fase de Grupos'!$D$9:$D$14='Fase de Grupos'!$E$9:$E$14))+SUMPRODUCT(('Fase de Grupos'!$F$9:$F$14=$A26)*ISNUMBER('Fase de Grupos'!$D$9:$D$14)*ISNUMBER('Fase de Grupos'!$E$9:$E$14)*('Fase de Grupos'!$E$9:$E$14='Fase de Grupos'!$D$9:$D$14))</f>
        <v>1</v>
      </c>
      <c r="C26" s="13">
        <f>SUMPRODUCT(('Fase de Grupos'!$C$9:$C$14=$A26)*ISNUMBER('Fase de Grupos'!$D$9:$D$14)*ISNUMBER('Fase de Grupos'!$E$9:$E$14)*'Fase de Grupos'!$D$9:$D$14)+SUMPRODUCT(('Fase de Grupos'!$F$9:$F$14=$A26)*ISNUMBER('Fase de Grupos'!$D$9:$D$14)*ISNUMBER('Fase de Grupos'!$E$9:$E$14)*'Fase de Grupos'!$E$9:$E$14)</f>
        <v>1</v>
      </c>
      <c r="D26" s="13">
        <f>SUMPRODUCT(('Fase de Grupos'!$C$9:$C$14=$A26)*ISNUMBER('Fase de Grupos'!$D$9:$D$14)*ISNUMBER('Fase de Grupos'!$E$9:$E$14)*'Fase de Grupos'!$E$9:$E$14)+SUMPRODUCT(('Fase de Grupos'!$F$9:$F$14=$A26)*ISNUMBER('Fase de Grupos'!$D$9:$D$14)*ISNUMBER('Fase de Grupos'!$E$9:$E$14)*'Fase de Grupos'!$D$9:$D$14)</f>
        <v>1</v>
      </c>
      <c r="E26" s="13">
        <f>C26-D26</f>
        <v>0</v>
      </c>
      <c r="F26" s="13">
        <f>B26*10000+(E26+30)*100+C26-2*0.001</f>
        <v>13000.998</v>
      </c>
      <c r="G26" s="13">
        <f>RANK(F26,$F$24:$F$27)</f>
        <v>2</v>
      </c>
    </row>
    <row r="27" spans="1:7" x14ac:dyDescent="0.25">
      <c r="A27" s="7" t="s">
        <v>51</v>
      </c>
      <c r="B27" s="14">
        <f>SUMPRODUCT(('Fase de Grupos'!$C$9:$C$14=$A27)*ISNUMBER('Fase de Grupos'!$D$9:$D$14)*ISNUMBER('Fase de Grupos'!$E$9:$E$14)*('Fase de Grupos'!$D$9:$D$14&gt;'Fase de Grupos'!$E$9:$E$14))*3+SUMPRODUCT(('Fase de Grupos'!$F$9:$F$14=$A27)*ISNUMBER('Fase de Grupos'!$D$9:$D$14)*ISNUMBER('Fase de Grupos'!$E$9:$E$14)*('Fase de Grupos'!$E$9:$E$14&gt;'Fase de Grupos'!$D$9:$D$14))*3+SUMPRODUCT(('Fase de Grupos'!$C$9:$C$14=$A27)*ISNUMBER('Fase de Grupos'!$D$9:$D$14)*ISNUMBER('Fase de Grupos'!$E$9:$E$14)*('Fase de Grupos'!$D$9:$D$14='Fase de Grupos'!$E$9:$E$14))+SUMPRODUCT(('Fase de Grupos'!$F$9:$F$14=$A27)*ISNUMBER('Fase de Grupos'!$D$9:$D$14)*ISNUMBER('Fase de Grupos'!$E$9:$E$14)*('Fase de Grupos'!$E$9:$E$14='Fase de Grupos'!$D$9:$D$14))</f>
        <v>1</v>
      </c>
      <c r="C27" s="14">
        <f>SUMPRODUCT(('Fase de Grupos'!$C$9:$C$14=$A27)*ISNUMBER('Fase de Grupos'!$D$9:$D$14)*ISNUMBER('Fase de Grupos'!$E$9:$E$14)*'Fase de Grupos'!$D$9:$D$14)+SUMPRODUCT(('Fase de Grupos'!$F$9:$F$14=$A27)*ISNUMBER('Fase de Grupos'!$D$9:$D$14)*ISNUMBER('Fase de Grupos'!$E$9:$E$14)*'Fase de Grupos'!$E$9:$E$14)</f>
        <v>1</v>
      </c>
      <c r="D27" s="14">
        <f>SUMPRODUCT(('Fase de Grupos'!$C$9:$C$14=$A27)*ISNUMBER('Fase de Grupos'!$D$9:$D$14)*ISNUMBER('Fase de Grupos'!$E$9:$E$14)*'Fase de Grupos'!$E$9:$E$14)+SUMPRODUCT(('Fase de Grupos'!$F$9:$F$14=$A27)*ISNUMBER('Fase de Grupos'!$D$9:$D$14)*ISNUMBER('Fase de Grupos'!$E$9:$E$14)*'Fase de Grupos'!$D$9:$D$14)</f>
        <v>1</v>
      </c>
      <c r="E27" s="14">
        <f>C27-D27</f>
        <v>0</v>
      </c>
      <c r="F27" s="14">
        <f>B27*10000+(E27+30)*100+C27-3*0.001</f>
        <v>13000.996999999999</v>
      </c>
      <c r="G27" s="14">
        <f>RANK(F27,$F$24:$F$27)</f>
        <v>3</v>
      </c>
    </row>
    <row r="29" spans="1:7" x14ac:dyDescent="0.25">
      <c r="A29" s="2" t="s">
        <v>114</v>
      </c>
      <c r="B29" s="12" t="s">
        <v>124</v>
      </c>
      <c r="C29" s="12" t="s">
        <v>125</v>
      </c>
      <c r="D29" s="12" t="s">
        <v>126</v>
      </c>
      <c r="E29" s="12" t="s">
        <v>127</v>
      </c>
      <c r="F29" s="12" t="s">
        <v>128</v>
      </c>
      <c r="G29" s="12" t="s">
        <v>129</v>
      </c>
    </row>
    <row r="30" spans="1:7" x14ac:dyDescent="0.25">
      <c r="A30" s="4" t="s">
        <v>53</v>
      </c>
      <c r="B30" s="13">
        <f>SUMPRODUCT(('Fase de Grupos'!$C$15:$C$20=$A30)*ISNUMBER('Fase de Grupos'!$D$15:$D$20)*ISNUMBER('Fase de Grupos'!$E$15:$E$20)*('Fase de Grupos'!$D$15:$D$20&gt;'Fase de Grupos'!$E$15:$E$20))*3+SUMPRODUCT(('Fase de Grupos'!$F$15:$F$20=$A30)*ISNUMBER('Fase de Grupos'!$D$15:$D$20)*ISNUMBER('Fase de Grupos'!$E$15:$E$20)*('Fase de Grupos'!$E$15:$E$20&gt;'Fase de Grupos'!$D$15:$D$20))*3+SUMPRODUCT(('Fase de Grupos'!$C$15:$C$20=$A30)*ISNUMBER('Fase de Grupos'!$D$15:$D$20)*ISNUMBER('Fase de Grupos'!$E$15:$E$20)*('Fase de Grupos'!$D$15:$D$20='Fase de Grupos'!$E$15:$E$20))+SUMPRODUCT(('Fase de Grupos'!$F$15:$F$20=$A30)*ISNUMBER('Fase de Grupos'!$D$15:$D$20)*ISNUMBER('Fase de Grupos'!$E$15:$E$20)*('Fase de Grupos'!$E$15:$E$20='Fase de Grupos'!$D$15:$D$20))</f>
        <v>0</v>
      </c>
      <c r="C30" s="13">
        <f>SUMPRODUCT(('Fase de Grupos'!$C$15:$C$20=$A30)*ISNUMBER('Fase de Grupos'!$D$15:$D$20)*ISNUMBER('Fase de Grupos'!$E$15:$E$20)*'Fase de Grupos'!$D$15:$D$20)+SUMPRODUCT(('Fase de Grupos'!$F$15:$F$20=$A30)*ISNUMBER('Fase de Grupos'!$D$15:$D$20)*ISNUMBER('Fase de Grupos'!$E$15:$E$20)*'Fase de Grupos'!$E$15:$E$20)</f>
        <v>0</v>
      </c>
      <c r="D30" s="13">
        <f>SUMPRODUCT(('Fase de Grupos'!$C$15:$C$20=$A30)*ISNUMBER('Fase de Grupos'!$D$15:$D$20)*ISNUMBER('Fase de Grupos'!$E$15:$E$20)*'Fase de Grupos'!$E$15:$E$20)+SUMPRODUCT(('Fase de Grupos'!$F$15:$F$20=$A30)*ISNUMBER('Fase de Grupos'!$D$15:$D$20)*ISNUMBER('Fase de Grupos'!$E$15:$E$20)*'Fase de Grupos'!$D$15:$D$20)</f>
        <v>0</v>
      </c>
      <c r="E30" s="13">
        <f>C30-D30</f>
        <v>0</v>
      </c>
      <c r="F30" s="13">
        <f>B30*10000+(E30+30)*100+C30-0*0.001</f>
        <v>3000</v>
      </c>
      <c r="G30" s="13">
        <f>RANK(F30,$F$30:$F$33)</f>
        <v>1</v>
      </c>
    </row>
    <row r="31" spans="1:7" x14ac:dyDescent="0.25">
      <c r="A31" s="7" t="s">
        <v>54</v>
      </c>
      <c r="B31" s="14">
        <f>SUMPRODUCT(('Fase de Grupos'!$C$15:$C$20=$A31)*ISNUMBER('Fase de Grupos'!$D$15:$D$20)*ISNUMBER('Fase de Grupos'!$E$15:$E$20)*('Fase de Grupos'!$D$15:$D$20&gt;'Fase de Grupos'!$E$15:$E$20))*3+SUMPRODUCT(('Fase de Grupos'!$F$15:$F$20=$A31)*ISNUMBER('Fase de Grupos'!$D$15:$D$20)*ISNUMBER('Fase de Grupos'!$E$15:$E$20)*('Fase de Grupos'!$E$15:$E$20&gt;'Fase de Grupos'!$D$15:$D$20))*3+SUMPRODUCT(('Fase de Grupos'!$C$15:$C$20=$A31)*ISNUMBER('Fase de Grupos'!$D$15:$D$20)*ISNUMBER('Fase de Grupos'!$E$15:$E$20)*('Fase de Grupos'!$D$15:$D$20='Fase de Grupos'!$E$15:$E$20))+SUMPRODUCT(('Fase de Grupos'!$F$15:$F$20=$A31)*ISNUMBER('Fase de Grupos'!$D$15:$D$20)*ISNUMBER('Fase de Grupos'!$E$15:$E$20)*('Fase de Grupos'!$E$15:$E$20='Fase de Grupos'!$D$15:$D$20))</f>
        <v>0</v>
      </c>
      <c r="C31" s="14">
        <f>SUMPRODUCT(('Fase de Grupos'!$C$15:$C$20=$A31)*ISNUMBER('Fase de Grupos'!$D$15:$D$20)*ISNUMBER('Fase de Grupos'!$E$15:$E$20)*'Fase de Grupos'!$D$15:$D$20)+SUMPRODUCT(('Fase de Grupos'!$F$15:$F$20=$A31)*ISNUMBER('Fase de Grupos'!$D$15:$D$20)*ISNUMBER('Fase de Grupos'!$E$15:$E$20)*'Fase de Grupos'!$E$15:$E$20)</f>
        <v>0</v>
      </c>
      <c r="D31" s="14">
        <f>SUMPRODUCT(('Fase de Grupos'!$C$15:$C$20=$A31)*ISNUMBER('Fase de Grupos'!$D$15:$D$20)*ISNUMBER('Fase de Grupos'!$E$15:$E$20)*'Fase de Grupos'!$E$15:$E$20)+SUMPRODUCT(('Fase de Grupos'!$F$15:$F$20=$A31)*ISNUMBER('Fase de Grupos'!$D$15:$D$20)*ISNUMBER('Fase de Grupos'!$E$15:$E$20)*'Fase de Grupos'!$D$15:$D$20)</f>
        <v>0</v>
      </c>
      <c r="E31" s="14">
        <f>C31-D31</f>
        <v>0</v>
      </c>
      <c r="F31" s="14">
        <f>B31*10000+(E31+30)*100+C31-1*0.001</f>
        <v>2999.9989999999998</v>
      </c>
      <c r="G31" s="14">
        <f>RANK(F31,$F$30:$F$33)</f>
        <v>2</v>
      </c>
    </row>
    <row r="32" spans="1:7" x14ac:dyDescent="0.25">
      <c r="A32" s="4" t="s">
        <v>55</v>
      </c>
      <c r="B32" s="13">
        <f>SUMPRODUCT(('Fase de Grupos'!$C$15:$C$20=$A32)*ISNUMBER('Fase de Grupos'!$D$15:$D$20)*ISNUMBER('Fase de Grupos'!$E$15:$E$20)*('Fase de Grupos'!$D$15:$D$20&gt;'Fase de Grupos'!$E$15:$E$20))*3+SUMPRODUCT(('Fase de Grupos'!$F$15:$F$20=$A32)*ISNUMBER('Fase de Grupos'!$D$15:$D$20)*ISNUMBER('Fase de Grupos'!$E$15:$E$20)*('Fase de Grupos'!$E$15:$E$20&gt;'Fase de Grupos'!$D$15:$D$20))*3+SUMPRODUCT(('Fase de Grupos'!$C$15:$C$20=$A32)*ISNUMBER('Fase de Grupos'!$D$15:$D$20)*ISNUMBER('Fase de Grupos'!$E$15:$E$20)*('Fase de Grupos'!$D$15:$D$20='Fase de Grupos'!$E$15:$E$20))+SUMPRODUCT(('Fase de Grupos'!$F$15:$F$20=$A32)*ISNUMBER('Fase de Grupos'!$D$15:$D$20)*ISNUMBER('Fase de Grupos'!$E$15:$E$20)*('Fase de Grupos'!$E$15:$E$20='Fase de Grupos'!$D$15:$D$20))</f>
        <v>0</v>
      </c>
      <c r="C32" s="13">
        <f>SUMPRODUCT(('Fase de Grupos'!$C$15:$C$20=$A32)*ISNUMBER('Fase de Grupos'!$D$15:$D$20)*ISNUMBER('Fase de Grupos'!$E$15:$E$20)*'Fase de Grupos'!$D$15:$D$20)+SUMPRODUCT(('Fase de Grupos'!$F$15:$F$20=$A32)*ISNUMBER('Fase de Grupos'!$D$15:$D$20)*ISNUMBER('Fase de Grupos'!$E$15:$E$20)*'Fase de Grupos'!$E$15:$E$20)</f>
        <v>0</v>
      </c>
      <c r="D32" s="13">
        <f>SUMPRODUCT(('Fase de Grupos'!$C$15:$C$20=$A32)*ISNUMBER('Fase de Grupos'!$D$15:$D$20)*ISNUMBER('Fase de Grupos'!$E$15:$E$20)*'Fase de Grupos'!$E$15:$E$20)+SUMPRODUCT(('Fase de Grupos'!$F$15:$F$20=$A32)*ISNUMBER('Fase de Grupos'!$D$15:$D$20)*ISNUMBER('Fase de Grupos'!$E$15:$E$20)*'Fase de Grupos'!$D$15:$D$20)</f>
        <v>0</v>
      </c>
      <c r="E32" s="13">
        <f>C32-D32</f>
        <v>0</v>
      </c>
      <c r="F32" s="13">
        <f>B32*10000+(E32+30)*100+C32-2*0.001</f>
        <v>2999.998</v>
      </c>
      <c r="G32" s="13">
        <f>RANK(F32,$F$30:$F$33)</f>
        <v>3</v>
      </c>
    </row>
    <row r="33" spans="1:7" x14ac:dyDescent="0.25">
      <c r="A33" s="7" t="s">
        <v>56</v>
      </c>
      <c r="B33" s="14">
        <f>SUMPRODUCT(('Fase de Grupos'!$C$15:$C$20=$A33)*ISNUMBER('Fase de Grupos'!$D$15:$D$20)*ISNUMBER('Fase de Grupos'!$E$15:$E$20)*('Fase de Grupos'!$D$15:$D$20&gt;'Fase de Grupos'!$E$15:$E$20))*3+SUMPRODUCT(('Fase de Grupos'!$F$15:$F$20=$A33)*ISNUMBER('Fase de Grupos'!$D$15:$D$20)*ISNUMBER('Fase de Grupos'!$E$15:$E$20)*('Fase de Grupos'!$E$15:$E$20&gt;'Fase de Grupos'!$D$15:$D$20))*3+SUMPRODUCT(('Fase de Grupos'!$C$15:$C$20=$A33)*ISNUMBER('Fase de Grupos'!$D$15:$D$20)*ISNUMBER('Fase de Grupos'!$E$15:$E$20)*('Fase de Grupos'!$D$15:$D$20='Fase de Grupos'!$E$15:$E$20))+SUMPRODUCT(('Fase de Grupos'!$F$15:$F$20=$A33)*ISNUMBER('Fase de Grupos'!$D$15:$D$20)*ISNUMBER('Fase de Grupos'!$E$15:$E$20)*('Fase de Grupos'!$E$15:$E$20='Fase de Grupos'!$D$15:$D$20))</f>
        <v>0</v>
      </c>
      <c r="C33" s="14">
        <f>SUMPRODUCT(('Fase de Grupos'!$C$15:$C$20=$A33)*ISNUMBER('Fase de Grupos'!$D$15:$D$20)*ISNUMBER('Fase de Grupos'!$E$15:$E$20)*'Fase de Grupos'!$D$15:$D$20)+SUMPRODUCT(('Fase de Grupos'!$F$15:$F$20=$A33)*ISNUMBER('Fase de Grupos'!$D$15:$D$20)*ISNUMBER('Fase de Grupos'!$E$15:$E$20)*'Fase de Grupos'!$E$15:$E$20)</f>
        <v>0</v>
      </c>
      <c r="D33" s="14">
        <f>SUMPRODUCT(('Fase de Grupos'!$C$15:$C$20=$A33)*ISNUMBER('Fase de Grupos'!$D$15:$D$20)*ISNUMBER('Fase de Grupos'!$E$15:$E$20)*'Fase de Grupos'!$E$15:$E$20)+SUMPRODUCT(('Fase de Grupos'!$F$15:$F$20=$A33)*ISNUMBER('Fase de Grupos'!$D$15:$D$20)*ISNUMBER('Fase de Grupos'!$E$15:$E$20)*'Fase de Grupos'!$D$15:$D$20)</f>
        <v>0</v>
      </c>
      <c r="E33" s="14">
        <f>C33-D33</f>
        <v>0</v>
      </c>
      <c r="F33" s="14">
        <f>B33*10000+(E33+30)*100+C33-3*0.001</f>
        <v>2999.9969999999998</v>
      </c>
      <c r="G33" s="14">
        <f>RANK(F33,$F$30:$F$33)</f>
        <v>4</v>
      </c>
    </row>
    <row r="35" spans="1:7" x14ac:dyDescent="0.25">
      <c r="A35" s="2" t="s">
        <v>115</v>
      </c>
      <c r="B35" s="12" t="s">
        <v>124</v>
      </c>
      <c r="C35" s="12" t="s">
        <v>125</v>
      </c>
      <c r="D35" s="12" t="s">
        <v>126</v>
      </c>
      <c r="E35" s="12" t="s">
        <v>127</v>
      </c>
      <c r="F35" s="12" t="s">
        <v>128</v>
      </c>
      <c r="G35" s="12" t="s">
        <v>129</v>
      </c>
    </row>
    <row r="36" spans="1:7" x14ac:dyDescent="0.25">
      <c r="A36" s="4" t="s">
        <v>58</v>
      </c>
      <c r="B36" s="13">
        <f>SUMPRODUCT(('Fase de Grupos'!$C$21:$C$26=$A36)*ISNUMBER('Fase de Grupos'!$D$21:$D$26)*ISNUMBER('Fase de Grupos'!$E$21:$E$26)*('Fase de Grupos'!$D$21:$D$26&gt;'Fase de Grupos'!$E$21:$E$26))*3+SUMPRODUCT(('Fase de Grupos'!$F$21:$F$26=$A36)*ISNUMBER('Fase de Grupos'!$D$21:$D$26)*ISNUMBER('Fase de Grupos'!$E$21:$E$26)*('Fase de Grupos'!$E$21:$E$26&gt;'Fase de Grupos'!$D$21:$D$26))*3+SUMPRODUCT(('Fase de Grupos'!$C$21:$C$26=$A36)*ISNUMBER('Fase de Grupos'!$D$21:$D$26)*ISNUMBER('Fase de Grupos'!$E$21:$E$26)*('Fase de Grupos'!$D$21:$D$26='Fase de Grupos'!$E$21:$E$26))+SUMPRODUCT(('Fase de Grupos'!$F$21:$F$26=$A36)*ISNUMBER('Fase de Grupos'!$D$21:$D$26)*ISNUMBER('Fase de Grupos'!$E$21:$E$26)*('Fase de Grupos'!$E$21:$E$26='Fase de Grupos'!$D$21:$D$26))</f>
        <v>0</v>
      </c>
      <c r="C36" s="13">
        <f>SUMPRODUCT(('Fase de Grupos'!$C$21:$C$26=$A36)*ISNUMBER('Fase de Grupos'!$D$21:$D$26)*ISNUMBER('Fase de Grupos'!$E$21:$E$26)*'Fase de Grupos'!$D$21:$D$26)+SUMPRODUCT(('Fase de Grupos'!$F$21:$F$26=$A36)*ISNUMBER('Fase de Grupos'!$D$21:$D$26)*ISNUMBER('Fase de Grupos'!$E$21:$E$26)*'Fase de Grupos'!$E$21:$E$26)</f>
        <v>0</v>
      </c>
      <c r="D36" s="13">
        <f>SUMPRODUCT(('Fase de Grupos'!$C$21:$C$26=$A36)*ISNUMBER('Fase de Grupos'!$D$21:$D$26)*ISNUMBER('Fase de Grupos'!$E$21:$E$26)*'Fase de Grupos'!$E$21:$E$26)+SUMPRODUCT(('Fase de Grupos'!$F$21:$F$26=$A36)*ISNUMBER('Fase de Grupos'!$D$21:$D$26)*ISNUMBER('Fase de Grupos'!$E$21:$E$26)*'Fase de Grupos'!$D$21:$D$26)</f>
        <v>0</v>
      </c>
      <c r="E36" s="13">
        <f>C36-D36</f>
        <v>0</v>
      </c>
      <c r="F36" s="13">
        <f>B36*10000+(E36+30)*100+C36-0*0.001</f>
        <v>3000</v>
      </c>
      <c r="G36" s="13">
        <f>RANK(F36,$F$36:$F$39)</f>
        <v>1</v>
      </c>
    </row>
    <row r="37" spans="1:7" x14ac:dyDescent="0.25">
      <c r="A37" s="7" t="s">
        <v>59</v>
      </c>
      <c r="B37" s="14">
        <f>SUMPRODUCT(('Fase de Grupos'!$C$21:$C$26=$A37)*ISNUMBER('Fase de Grupos'!$D$21:$D$26)*ISNUMBER('Fase de Grupos'!$E$21:$E$26)*('Fase de Grupos'!$D$21:$D$26&gt;'Fase de Grupos'!$E$21:$E$26))*3+SUMPRODUCT(('Fase de Grupos'!$F$21:$F$26=$A37)*ISNUMBER('Fase de Grupos'!$D$21:$D$26)*ISNUMBER('Fase de Grupos'!$E$21:$E$26)*('Fase de Grupos'!$E$21:$E$26&gt;'Fase de Grupos'!$D$21:$D$26))*3+SUMPRODUCT(('Fase de Grupos'!$C$21:$C$26=$A37)*ISNUMBER('Fase de Grupos'!$D$21:$D$26)*ISNUMBER('Fase de Grupos'!$E$21:$E$26)*('Fase de Grupos'!$D$21:$D$26='Fase de Grupos'!$E$21:$E$26))+SUMPRODUCT(('Fase de Grupos'!$F$21:$F$26=$A37)*ISNUMBER('Fase de Grupos'!$D$21:$D$26)*ISNUMBER('Fase de Grupos'!$E$21:$E$26)*('Fase de Grupos'!$E$21:$E$26='Fase de Grupos'!$D$21:$D$26))</f>
        <v>0</v>
      </c>
      <c r="C37" s="14">
        <f>SUMPRODUCT(('Fase de Grupos'!$C$21:$C$26=$A37)*ISNUMBER('Fase de Grupos'!$D$21:$D$26)*ISNUMBER('Fase de Grupos'!$E$21:$E$26)*'Fase de Grupos'!$D$21:$D$26)+SUMPRODUCT(('Fase de Grupos'!$F$21:$F$26=$A37)*ISNUMBER('Fase de Grupos'!$D$21:$D$26)*ISNUMBER('Fase de Grupos'!$E$21:$E$26)*'Fase de Grupos'!$E$21:$E$26)</f>
        <v>0</v>
      </c>
      <c r="D37" s="14">
        <f>SUMPRODUCT(('Fase de Grupos'!$C$21:$C$26=$A37)*ISNUMBER('Fase de Grupos'!$D$21:$D$26)*ISNUMBER('Fase de Grupos'!$E$21:$E$26)*'Fase de Grupos'!$E$21:$E$26)+SUMPRODUCT(('Fase de Grupos'!$F$21:$F$26=$A37)*ISNUMBER('Fase de Grupos'!$D$21:$D$26)*ISNUMBER('Fase de Grupos'!$E$21:$E$26)*'Fase de Grupos'!$D$21:$D$26)</f>
        <v>0</v>
      </c>
      <c r="E37" s="14">
        <f>C37-D37</f>
        <v>0</v>
      </c>
      <c r="F37" s="14">
        <f>B37*10000+(E37+30)*100+C37-1*0.001</f>
        <v>2999.9989999999998</v>
      </c>
      <c r="G37" s="14">
        <f>RANK(F37,$F$36:$F$39)</f>
        <v>2</v>
      </c>
    </row>
    <row r="38" spans="1:7" x14ac:dyDescent="0.25">
      <c r="A38" s="4" t="s">
        <v>60</v>
      </c>
      <c r="B38" s="13">
        <f>SUMPRODUCT(('Fase de Grupos'!$C$21:$C$26=$A38)*ISNUMBER('Fase de Grupos'!$D$21:$D$26)*ISNUMBER('Fase de Grupos'!$E$21:$E$26)*('Fase de Grupos'!$D$21:$D$26&gt;'Fase de Grupos'!$E$21:$E$26))*3+SUMPRODUCT(('Fase de Grupos'!$F$21:$F$26=$A38)*ISNUMBER('Fase de Grupos'!$D$21:$D$26)*ISNUMBER('Fase de Grupos'!$E$21:$E$26)*('Fase de Grupos'!$E$21:$E$26&gt;'Fase de Grupos'!$D$21:$D$26))*3+SUMPRODUCT(('Fase de Grupos'!$C$21:$C$26=$A38)*ISNUMBER('Fase de Grupos'!$D$21:$D$26)*ISNUMBER('Fase de Grupos'!$E$21:$E$26)*('Fase de Grupos'!$D$21:$D$26='Fase de Grupos'!$E$21:$E$26))+SUMPRODUCT(('Fase de Grupos'!$F$21:$F$26=$A38)*ISNUMBER('Fase de Grupos'!$D$21:$D$26)*ISNUMBER('Fase de Grupos'!$E$21:$E$26)*('Fase de Grupos'!$E$21:$E$26='Fase de Grupos'!$D$21:$D$26))</f>
        <v>0</v>
      </c>
      <c r="C38" s="13">
        <f>SUMPRODUCT(('Fase de Grupos'!$C$21:$C$26=$A38)*ISNUMBER('Fase de Grupos'!$D$21:$D$26)*ISNUMBER('Fase de Grupos'!$E$21:$E$26)*'Fase de Grupos'!$D$21:$D$26)+SUMPRODUCT(('Fase de Grupos'!$F$21:$F$26=$A38)*ISNUMBER('Fase de Grupos'!$D$21:$D$26)*ISNUMBER('Fase de Grupos'!$E$21:$E$26)*'Fase de Grupos'!$E$21:$E$26)</f>
        <v>0</v>
      </c>
      <c r="D38" s="13">
        <f>SUMPRODUCT(('Fase de Grupos'!$C$21:$C$26=$A38)*ISNUMBER('Fase de Grupos'!$D$21:$D$26)*ISNUMBER('Fase de Grupos'!$E$21:$E$26)*'Fase de Grupos'!$E$21:$E$26)+SUMPRODUCT(('Fase de Grupos'!$F$21:$F$26=$A38)*ISNUMBER('Fase de Grupos'!$D$21:$D$26)*ISNUMBER('Fase de Grupos'!$E$21:$E$26)*'Fase de Grupos'!$D$21:$D$26)</f>
        <v>0</v>
      </c>
      <c r="E38" s="13">
        <f>C38-D38</f>
        <v>0</v>
      </c>
      <c r="F38" s="13">
        <f>B38*10000+(E38+30)*100+C38-2*0.001</f>
        <v>2999.998</v>
      </c>
      <c r="G38" s="13">
        <f>RANK(F38,$F$36:$F$39)</f>
        <v>3</v>
      </c>
    </row>
    <row r="39" spans="1:7" x14ac:dyDescent="0.25">
      <c r="A39" s="7" t="s">
        <v>61</v>
      </c>
      <c r="B39" s="14">
        <f>SUMPRODUCT(('Fase de Grupos'!$C$21:$C$26=$A39)*ISNUMBER('Fase de Grupos'!$D$21:$D$26)*ISNUMBER('Fase de Grupos'!$E$21:$E$26)*('Fase de Grupos'!$D$21:$D$26&gt;'Fase de Grupos'!$E$21:$E$26))*3+SUMPRODUCT(('Fase de Grupos'!$F$21:$F$26=$A39)*ISNUMBER('Fase de Grupos'!$D$21:$D$26)*ISNUMBER('Fase de Grupos'!$E$21:$E$26)*('Fase de Grupos'!$E$21:$E$26&gt;'Fase de Grupos'!$D$21:$D$26))*3+SUMPRODUCT(('Fase de Grupos'!$C$21:$C$26=$A39)*ISNUMBER('Fase de Grupos'!$D$21:$D$26)*ISNUMBER('Fase de Grupos'!$E$21:$E$26)*('Fase de Grupos'!$D$21:$D$26='Fase de Grupos'!$E$21:$E$26))+SUMPRODUCT(('Fase de Grupos'!$F$21:$F$26=$A39)*ISNUMBER('Fase de Grupos'!$D$21:$D$26)*ISNUMBER('Fase de Grupos'!$E$21:$E$26)*('Fase de Grupos'!$E$21:$E$26='Fase de Grupos'!$D$21:$D$26))</f>
        <v>0</v>
      </c>
      <c r="C39" s="14">
        <f>SUMPRODUCT(('Fase de Grupos'!$C$21:$C$26=$A39)*ISNUMBER('Fase de Grupos'!$D$21:$D$26)*ISNUMBER('Fase de Grupos'!$E$21:$E$26)*'Fase de Grupos'!$D$21:$D$26)+SUMPRODUCT(('Fase de Grupos'!$F$21:$F$26=$A39)*ISNUMBER('Fase de Grupos'!$D$21:$D$26)*ISNUMBER('Fase de Grupos'!$E$21:$E$26)*'Fase de Grupos'!$E$21:$E$26)</f>
        <v>0</v>
      </c>
      <c r="D39" s="14">
        <f>SUMPRODUCT(('Fase de Grupos'!$C$21:$C$26=$A39)*ISNUMBER('Fase de Grupos'!$D$21:$D$26)*ISNUMBER('Fase de Grupos'!$E$21:$E$26)*'Fase de Grupos'!$E$21:$E$26)+SUMPRODUCT(('Fase de Grupos'!$F$21:$F$26=$A39)*ISNUMBER('Fase de Grupos'!$D$21:$D$26)*ISNUMBER('Fase de Grupos'!$E$21:$E$26)*'Fase de Grupos'!$D$21:$D$26)</f>
        <v>0</v>
      </c>
      <c r="E39" s="14">
        <f>C39-D39</f>
        <v>0</v>
      </c>
      <c r="F39" s="14">
        <f>B39*10000+(E39+30)*100+C39-3*0.001</f>
        <v>2999.9969999999998</v>
      </c>
      <c r="G39" s="14">
        <f>RANK(F39,$F$36:$F$39)</f>
        <v>4</v>
      </c>
    </row>
    <row r="41" spans="1:7" x14ac:dyDescent="0.25">
      <c r="A41" s="2" t="s">
        <v>116</v>
      </c>
      <c r="B41" s="12" t="s">
        <v>124</v>
      </c>
      <c r="C41" s="12" t="s">
        <v>125</v>
      </c>
      <c r="D41" s="12" t="s">
        <v>126</v>
      </c>
      <c r="E41" s="12" t="s">
        <v>127</v>
      </c>
      <c r="F41" s="12" t="s">
        <v>128</v>
      </c>
      <c r="G41" s="12" t="s">
        <v>129</v>
      </c>
    </row>
    <row r="42" spans="1:7" x14ac:dyDescent="0.25">
      <c r="A42" s="4" t="s">
        <v>63</v>
      </c>
      <c r="B42" s="13">
        <f>SUMPRODUCT(('Fase de Grupos'!$C$27:$C$32=$A42)*ISNUMBER('Fase de Grupos'!$D$27:$D$32)*ISNUMBER('Fase de Grupos'!$E$27:$E$32)*('Fase de Grupos'!$D$27:$D$32&gt;'Fase de Grupos'!$E$27:$E$32))*3+SUMPRODUCT(('Fase de Grupos'!$F$27:$F$32=$A42)*ISNUMBER('Fase de Grupos'!$D$27:$D$32)*ISNUMBER('Fase de Grupos'!$E$27:$E$32)*('Fase de Grupos'!$E$27:$E$32&gt;'Fase de Grupos'!$D$27:$D$32))*3+SUMPRODUCT(('Fase de Grupos'!$C$27:$C$32=$A42)*ISNUMBER('Fase de Grupos'!$D$27:$D$32)*ISNUMBER('Fase de Grupos'!$E$27:$E$32)*('Fase de Grupos'!$D$27:$D$32='Fase de Grupos'!$E$27:$E$32))+SUMPRODUCT(('Fase de Grupos'!$F$27:$F$32=$A42)*ISNUMBER('Fase de Grupos'!$D$27:$D$32)*ISNUMBER('Fase de Grupos'!$E$27:$E$32)*('Fase de Grupos'!$E$27:$E$32='Fase de Grupos'!$D$27:$D$32))</f>
        <v>0</v>
      </c>
      <c r="C42" s="13">
        <f>SUMPRODUCT(('Fase de Grupos'!$C$27:$C$32=$A42)*ISNUMBER('Fase de Grupos'!$D$27:$D$32)*ISNUMBER('Fase de Grupos'!$E$27:$E$32)*'Fase de Grupos'!$D$27:$D$32)+SUMPRODUCT(('Fase de Grupos'!$F$27:$F$32=$A42)*ISNUMBER('Fase de Grupos'!$D$27:$D$32)*ISNUMBER('Fase de Grupos'!$E$27:$E$32)*'Fase de Grupos'!$E$27:$E$32)</f>
        <v>0</v>
      </c>
      <c r="D42" s="13">
        <f>SUMPRODUCT(('Fase de Grupos'!$C$27:$C$32=$A42)*ISNUMBER('Fase de Grupos'!$D$27:$D$32)*ISNUMBER('Fase de Grupos'!$E$27:$E$32)*'Fase de Grupos'!$E$27:$E$32)+SUMPRODUCT(('Fase de Grupos'!$F$27:$F$32=$A42)*ISNUMBER('Fase de Grupos'!$D$27:$D$32)*ISNUMBER('Fase de Grupos'!$E$27:$E$32)*'Fase de Grupos'!$D$27:$D$32)</f>
        <v>0</v>
      </c>
      <c r="E42" s="13">
        <f>C42-D42</f>
        <v>0</v>
      </c>
      <c r="F42" s="13">
        <f>B42*10000+(E42+30)*100+C42-0*0.001</f>
        <v>3000</v>
      </c>
      <c r="G42" s="13">
        <f>RANK(F42,$F$42:$F$45)</f>
        <v>1</v>
      </c>
    </row>
    <row r="43" spans="1:7" x14ac:dyDescent="0.25">
      <c r="A43" s="7" t="s">
        <v>64</v>
      </c>
      <c r="B43" s="14">
        <f>SUMPRODUCT(('Fase de Grupos'!$C$27:$C$32=$A43)*ISNUMBER('Fase de Grupos'!$D$27:$D$32)*ISNUMBER('Fase de Grupos'!$E$27:$E$32)*('Fase de Grupos'!$D$27:$D$32&gt;'Fase de Grupos'!$E$27:$E$32))*3+SUMPRODUCT(('Fase de Grupos'!$F$27:$F$32=$A43)*ISNUMBER('Fase de Grupos'!$D$27:$D$32)*ISNUMBER('Fase de Grupos'!$E$27:$E$32)*('Fase de Grupos'!$E$27:$E$32&gt;'Fase de Grupos'!$D$27:$D$32))*3+SUMPRODUCT(('Fase de Grupos'!$C$27:$C$32=$A43)*ISNUMBER('Fase de Grupos'!$D$27:$D$32)*ISNUMBER('Fase de Grupos'!$E$27:$E$32)*('Fase de Grupos'!$D$27:$D$32='Fase de Grupos'!$E$27:$E$32))+SUMPRODUCT(('Fase de Grupos'!$F$27:$F$32=$A43)*ISNUMBER('Fase de Grupos'!$D$27:$D$32)*ISNUMBER('Fase de Grupos'!$E$27:$E$32)*('Fase de Grupos'!$E$27:$E$32='Fase de Grupos'!$D$27:$D$32))</f>
        <v>0</v>
      </c>
      <c r="C43" s="14">
        <f>SUMPRODUCT(('Fase de Grupos'!$C$27:$C$32=$A43)*ISNUMBER('Fase de Grupos'!$D$27:$D$32)*ISNUMBER('Fase de Grupos'!$E$27:$E$32)*'Fase de Grupos'!$D$27:$D$32)+SUMPRODUCT(('Fase de Grupos'!$F$27:$F$32=$A43)*ISNUMBER('Fase de Grupos'!$D$27:$D$32)*ISNUMBER('Fase de Grupos'!$E$27:$E$32)*'Fase de Grupos'!$E$27:$E$32)</f>
        <v>0</v>
      </c>
      <c r="D43" s="14">
        <f>SUMPRODUCT(('Fase de Grupos'!$C$27:$C$32=$A43)*ISNUMBER('Fase de Grupos'!$D$27:$D$32)*ISNUMBER('Fase de Grupos'!$E$27:$E$32)*'Fase de Grupos'!$E$27:$E$32)+SUMPRODUCT(('Fase de Grupos'!$F$27:$F$32=$A43)*ISNUMBER('Fase de Grupos'!$D$27:$D$32)*ISNUMBER('Fase de Grupos'!$E$27:$E$32)*'Fase de Grupos'!$D$27:$D$32)</f>
        <v>0</v>
      </c>
      <c r="E43" s="14">
        <f>C43-D43</f>
        <v>0</v>
      </c>
      <c r="F43" s="14">
        <f>B43*10000+(E43+30)*100+C43-1*0.001</f>
        <v>2999.9989999999998</v>
      </c>
      <c r="G43" s="14">
        <f>RANK(F43,$F$42:$F$45)</f>
        <v>2</v>
      </c>
    </row>
    <row r="44" spans="1:7" x14ac:dyDescent="0.25">
      <c r="A44" s="4" t="s">
        <v>65</v>
      </c>
      <c r="B44" s="13">
        <f>SUMPRODUCT(('Fase de Grupos'!$C$27:$C$32=$A44)*ISNUMBER('Fase de Grupos'!$D$27:$D$32)*ISNUMBER('Fase de Grupos'!$E$27:$E$32)*('Fase de Grupos'!$D$27:$D$32&gt;'Fase de Grupos'!$E$27:$E$32))*3+SUMPRODUCT(('Fase de Grupos'!$F$27:$F$32=$A44)*ISNUMBER('Fase de Grupos'!$D$27:$D$32)*ISNUMBER('Fase de Grupos'!$E$27:$E$32)*('Fase de Grupos'!$E$27:$E$32&gt;'Fase de Grupos'!$D$27:$D$32))*3+SUMPRODUCT(('Fase de Grupos'!$C$27:$C$32=$A44)*ISNUMBER('Fase de Grupos'!$D$27:$D$32)*ISNUMBER('Fase de Grupos'!$E$27:$E$32)*('Fase de Grupos'!$D$27:$D$32='Fase de Grupos'!$E$27:$E$32))+SUMPRODUCT(('Fase de Grupos'!$F$27:$F$32=$A44)*ISNUMBER('Fase de Grupos'!$D$27:$D$32)*ISNUMBER('Fase de Grupos'!$E$27:$E$32)*('Fase de Grupos'!$E$27:$E$32='Fase de Grupos'!$D$27:$D$32))</f>
        <v>0</v>
      </c>
      <c r="C44" s="13">
        <f>SUMPRODUCT(('Fase de Grupos'!$C$27:$C$32=$A44)*ISNUMBER('Fase de Grupos'!$D$27:$D$32)*ISNUMBER('Fase de Grupos'!$E$27:$E$32)*'Fase de Grupos'!$D$27:$D$32)+SUMPRODUCT(('Fase de Grupos'!$F$27:$F$32=$A44)*ISNUMBER('Fase de Grupos'!$D$27:$D$32)*ISNUMBER('Fase de Grupos'!$E$27:$E$32)*'Fase de Grupos'!$E$27:$E$32)</f>
        <v>0</v>
      </c>
      <c r="D44" s="13">
        <f>SUMPRODUCT(('Fase de Grupos'!$C$27:$C$32=$A44)*ISNUMBER('Fase de Grupos'!$D$27:$D$32)*ISNUMBER('Fase de Grupos'!$E$27:$E$32)*'Fase de Grupos'!$E$27:$E$32)+SUMPRODUCT(('Fase de Grupos'!$F$27:$F$32=$A44)*ISNUMBER('Fase de Grupos'!$D$27:$D$32)*ISNUMBER('Fase de Grupos'!$E$27:$E$32)*'Fase de Grupos'!$D$27:$D$32)</f>
        <v>0</v>
      </c>
      <c r="E44" s="13">
        <f>C44-D44</f>
        <v>0</v>
      </c>
      <c r="F44" s="13">
        <f>B44*10000+(E44+30)*100+C44-2*0.001</f>
        <v>2999.998</v>
      </c>
      <c r="G44" s="13">
        <f>RANK(F44,$F$42:$F$45)</f>
        <v>3</v>
      </c>
    </row>
    <row r="45" spans="1:7" x14ac:dyDescent="0.25">
      <c r="A45" s="7" t="s">
        <v>66</v>
      </c>
      <c r="B45" s="14">
        <f>SUMPRODUCT(('Fase de Grupos'!$C$27:$C$32=$A45)*ISNUMBER('Fase de Grupos'!$D$27:$D$32)*ISNUMBER('Fase de Grupos'!$E$27:$E$32)*('Fase de Grupos'!$D$27:$D$32&gt;'Fase de Grupos'!$E$27:$E$32))*3+SUMPRODUCT(('Fase de Grupos'!$F$27:$F$32=$A45)*ISNUMBER('Fase de Grupos'!$D$27:$D$32)*ISNUMBER('Fase de Grupos'!$E$27:$E$32)*('Fase de Grupos'!$E$27:$E$32&gt;'Fase de Grupos'!$D$27:$D$32))*3+SUMPRODUCT(('Fase de Grupos'!$C$27:$C$32=$A45)*ISNUMBER('Fase de Grupos'!$D$27:$D$32)*ISNUMBER('Fase de Grupos'!$E$27:$E$32)*('Fase de Grupos'!$D$27:$D$32='Fase de Grupos'!$E$27:$E$32))+SUMPRODUCT(('Fase de Grupos'!$F$27:$F$32=$A45)*ISNUMBER('Fase de Grupos'!$D$27:$D$32)*ISNUMBER('Fase de Grupos'!$E$27:$E$32)*('Fase de Grupos'!$E$27:$E$32='Fase de Grupos'!$D$27:$D$32))</f>
        <v>0</v>
      </c>
      <c r="C45" s="14">
        <f>SUMPRODUCT(('Fase de Grupos'!$C$27:$C$32=$A45)*ISNUMBER('Fase de Grupos'!$D$27:$D$32)*ISNUMBER('Fase de Grupos'!$E$27:$E$32)*'Fase de Grupos'!$D$27:$D$32)+SUMPRODUCT(('Fase de Grupos'!$F$27:$F$32=$A45)*ISNUMBER('Fase de Grupos'!$D$27:$D$32)*ISNUMBER('Fase de Grupos'!$E$27:$E$32)*'Fase de Grupos'!$E$27:$E$32)</f>
        <v>0</v>
      </c>
      <c r="D45" s="14">
        <f>SUMPRODUCT(('Fase de Grupos'!$C$27:$C$32=$A45)*ISNUMBER('Fase de Grupos'!$D$27:$D$32)*ISNUMBER('Fase de Grupos'!$E$27:$E$32)*'Fase de Grupos'!$E$27:$E$32)+SUMPRODUCT(('Fase de Grupos'!$F$27:$F$32=$A45)*ISNUMBER('Fase de Grupos'!$D$27:$D$32)*ISNUMBER('Fase de Grupos'!$E$27:$E$32)*'Fase de Grupos'!$D$27:$D$32)</f>
        <v>0</v>
      </c>
      <c r="E45" s="14">
        <f>C45-D45</f>
        <v>0</v>
      </c>
      <c r="F45" s="14">
        <f>B45*10000+(E45+30)*100+C45-3*0.001</f>
        <v>2999.9969999999998</v>
      </c>
      <c r="G45" s="14">
        <f>RANK(F45,$F$42:$F$45)</f>
        <v>4</v>
      </c>
    </row>
    <row r="47" spans="1:7" x14ac:dyDescent="0.25">
      <c r="A47" s="2" t="s">
        <v>117</v>
      </c>
      <c r="B47" s="12" t="s">
        <v>124</v>
      </c>
      <c r="C47" s="12" t="s">
        <v>125</v>
      </c>
      <c r="D47" s="12" t="s">
        <v>126</v>
      </c>
      <c r="E47" s="12" t="s">
        <v>127</v>
      </c>
      <c r="F47" s="12" t="s">
        <v>128</v>
      </c>
      <c r="G47" s="12" t="s">
        <v>129</v>
      </c>
    </row>
    <row r="48" spans="1:7" x14ac:dyDescent="0.25">
      <c r="A48" s="4" t="s">
        <v>68</v>
      </c>
      <c r="B48" s="13">
        <f>SUMPRODUCT(('Fase de Grupos'!$C$33:$C$38=$A48)*ISNUMBER('Fase de Grupos'!$D$33:$D$38)*ISNUMBER('Fase de Grupos'!$E$33:$E$38)*('Fase de Grupos'!$D$33:$D$38&gt;'Fase de Grupos'!$E$33:$E$38))*3+SUMPRODUCT(('Fase de Grupos'!$F$33:$F$38=$A48)*ISNUMBER('Fase de Grupos'!$D$33:$D$38)*ISNUMBER('Fase de Grupos'!$E$33:$E$38)*('Fase de Grupos'!$E$33:$E$38&gt;'Fase de Grupos'!$D$33:$D$38))*3+SUMPRODUCT(('Fase de Grupos'!$C$33:$C$38=$A48)*ISNUMBER('Fase de Grupos'!$D$33:$D$38)*ISNUMBER('Fase de Grupos'!$E$33:$E$38)*('Fase de Grupos'!$D$33:$D$38='Fase de Grupos'!$E$33:$E$38))+SUMPRODUCT(('Fase de Grupos'!$F$33:$F$38=$A48)*ISNUMBER('Fase de Grupos'!$D$33:$D$38)*ISNUMBER('Fase de Grupos'!$E$33:$E$38)*('Fase de Grupos'!$E$33:$E$38='Fase de Grupos'!$D$33:$D$38))</f>
        <v>0</v>
      </c>
      <c r="C48" s="13">
        <f>SUMPRODUCT(('Fase de Grupos'!$C$33:$C$38=$A48)*ISNUMBER('Fase de Grupos'!$D$33:$D$38)*ISNUMBER('Fase de Grupos'!$E$33:$E$38)*'Fase de Grupos'!$D$33:$D$38)+SUMPRODUCT(('Fase de Grupos'!$F$33:$F$38=$A48)*ISNUMBER('Fase de Grupos'!$D$33:$D$38)*ISNUMBER('Fase de Grupos'!$E$33:$E$38)*'Fase de Grupos'!$E$33:$E$38)</f>
        <v>0</v>
      </c>
      <c r="D48" s="13">
        <f>SUMPRODUCT(('Fase de Grupos'!$C$33:$C$38=$A48)*ISNUMBER('Fase de Grupos'!$D$33:$D$38)*ISNUMBER('Fase de Grupos'!$E$33:$E$38)*'Fase de Grupos'!$E$33:$E$38)+SUMPRODUCT(('Fase de Grupos'!$F$33:$F$38=$A48)*ISNUMBER('Fase de Grupos'!$D$33:$D$38)*ISNUMBER('Fase de Grupos'!$E$33:$E$38)*'Fase de Grupos'!$D$33:$D$38)</f>
        <v>0</v>
      </c>
      <c r="E48" s="13">
        <f>C48-D48</f>
        <v>0</v>
      </c>
      <c r="F48" s="13">
        <f>B48*10000+(E48+30)*100+C48-0*0.001</f>
        <v>3000</v>
      </c>
      <c r="G48" s="13">
        <f>RANK(F48,$F$48:$F$51)</f>
        <v>1</v>
      </c>
    </row>
    <row r="49" spans="1:7" x14ac:dyDescent="0.25">
      <c r="A49" s="7" t="s">
        <v>69</v>
      </c>
      <c r="B49" s="14">
        <f>SUMPRODUCT(('Fase de Grupos'!$C$33:$C$38=$A49)*ISNUMBER('Fase de Grupos'!$D$33:$D$38)*ISNUMBER('Fase de Grupos'!$E$33:$E$38)*('Fase de Grupos'!$D$33:$D$38&gt;'Fase de Grupos'!$E$33:$E$38))*3+SUMPRODUCT(('Fase de Grupos'!$F$33:$F$38=$A49)*ISNUMBER('Fase de Grupos'!$D$33:$D$38)*ISNUMBER('Fase de Grupos'!$E$33:$E$38)*('Fase de Grupos'!$E$33:$E$38&gt;'Fase de Grupos'!$D$33:$D$38))*3+SUMPRODUCT(('Fase de Grupos'!$C$33:$C$38=$A49)*ISNUMBER('Fase de Grupos'!$D$33:$D$38)*ISNUMBER('Fase de Grupos'!$E$33:$E$38)*('Fase de Grupos'!$D$33:$D$38='Fase de Grupos'!$E$33:$E$38))+SUMPRODUCT(('Fase de Grupos'!$F$33:$F$38=$A49)*ISNUMBER('Fase de Grupos'!$D$33:$D$38)*ISNUMBER('Fase de Grupos'!$E$33:$E$38)*('Fase de Grupos'!$E$33:$E$38='Fase de Grupos'!$D$33:$D$38))</f>
        <v>0</v>
      </c>
      <c r="C49" s="14">
        <f>SUMPRODUCT(('Fase de Grupos'!$C$33:$C$38=$A49)*ISNUMBER('Fase de Grupos'!$D$33:$D$38)*ISNUMBER('Fase de Grupos'!$E$33:$E$38)*'Fase de Grupos'!$D$33:$D$38)+SUMPRODUCT(('Fase de Grupos'!$F$33:$F$38=$A49)*ISNUMBER('Fase de Grupos'!$D$33:$D$38)*ISNUMBER('Fase de Grupos'!$E$33:$E$38)*'Fase de Grupos'!$E$33:$E$38)</f>
        <v>0</v>
      </c>
      <c r="D49" s="14">
        <f>SUMPRODUCT(('Fase de Grupos'!$C$33:$C$38=$A49)*ISNUMBER('Fase de Grupos'!$D$33:$D$38)*ISNUMBER('Fase de Grupos'!$E$33:$E$38)*'Fase de Grupos'!$E$33:$E$38)+SUMPRODUCT(('Fase de Grupos'!$F$33:$F$38=$A49)*ISNUMBER('Fase de Grupos'!$D$33:$D$38)*ISNUMBER('Fase de Grupos'!$E$33:$E$38)*'Fase de Grupos'!$D$33:$D$38)</f>
        <v>0</v>
      </c>
      <c r="E49" s="14">
        <f>C49-D49</f>
        <v>0</v>
      </c>
      <c r="F49" s="14">
        <f>B49*10000+(E49+30)*100+C49-1*0.001</f>
        <v>2999.9989999999998</v>
      </c>
      <c r="G49" s="14">
        <f>RANK(F49,$F$48:$F$51)</f>
        <v>2</v>
      </c>
    </row>
    <row r="50" spans="1:7" x14ac:dyDescent="0.25">
      <c r="A50" s="4" t="s">
        <v>70</v>
      </c>
      <c r="B50" s="13">
        <f>SUMPRODUCT(('Fase de Grupos'!$C$33:$C$38=$A50)*ISNUMBER('Fase de Grupos'!$D$33:$D$38)*ISNUMBER('Fase de Grupos'!$E$33:$E$38)*('Fase de Grupos'!$D$33:$D$38&gt;'Fase de Grupos'!$E$33:$E$38))*3+SUMPRODUCT(('Fase de Grupos'!$F$33:$F$38=$A50)*ISNUMBER('Fase de Grupos'!$D$33:$D$38)*ISNUMBER('Fase de Grupos'!$E$33:$E$38)*('Fase de Grupos'!$E$33:$E$38&gt;'Fase de Grupos'!$D$33:$D$38))*3+SUMPRODUCT(('Fase de Grupos'!$C$33:$C$38=$A50)*ISNUMBER('Fase de Grupos'!$D$33:$D$38)*ISNUMBER('Fase de Grupos'!$E$33:$E$38)*('Fase de Grupos'!$D$33:$D$38='Fase de Grupos'!$E$33:$E$38))+SUMPRODUCT(('Fase de Grupos'!$F$33:$F$38=$A50)*ISNUMBER('Fase de Grupos'!$D$33:$D$38)*ISNUMBER('Fase de Grupos'!$E$33:$E$38)*('Fase de Grupos'!$E$33:$E$38='Fase de Grupos'!$D$33:$D$38))</f>
        <v>0</v>
      </c>
      <c r="C50" s="13">
        <f>SUMPRODUCT(('Fase de Grupos'!$C$33:$C$38=$A50)*ISNUMBER('Fase de Grupos'!$D$33:$D$38)*ISNUMBER('Fase de Grupos'!$E$33:$E$38)*'Fase de Grupos'!$D$33:$D$38)+SUMPRODUCT(('Fase de Grupos'!$F$33:$F$38=$A50)*ISNUMBER('Fase de Grupos'!$D$33:$D$38)*ISNUMBER('Fase de Grupos'!$E$33:$E$38)*'Fase de Grupos'!$E$33:$E$38)</f>
        <v>0</v>
      </c>
      <c r="D50" s="13">
        <f>SUMPRODUCT(('Fase de Grupos'!$C$33:$C$38=$A50)*ISNUMBER('Fase de Grupos'!$D$33:$D$38)*ISNUMBER('Fase de Grupos'!$E$33:$E$38)*'Fase de Grupos'!$E$33:$E$38)+SUMPRODUCT(('Fase de Grupos'!$F$33:$F$38=$A50)*ISNUMBER('Fase de Grupos'!$D$33:$D$38)*ISNUMBER('Fase de Grupos'!$E$33:$E$38)*'Fase de Grupos'!$D$33:$D$38)</f>
        <v>0</v>
      </c>
      <c r="E50" s="13">
        <f>C50-D50</f>
        <v>0</v>
      </c>
      <c r="F50" s="13">
        <f>B50*10000+(E50+30)*100+C50-2*0.001</f>
        <v>2999.998</v>
      </c>
      <c r="G50" s="13">
        <f>RANK(F50,$F$48:$F$51)</f>
        <v>3</v>
      </c>
    </row>
    <row r="51" spans="1:7" x14ac:dyDescent="0.25">
      <c r="A51" s="7" t="s">
        <v>71</v>
      </c>
      <c r="B51" s="14">
        <f>SUMPRODUCT(('Fase de Grupos'!$C$33:$C$38=$A51)*ISNUMBER('Fase de Grupos'!$D$33:$D$38)*ISNUMBER('Fase de Grupos'!$E$33:$E$38)*('Fase de Grupos'!$D$33:$D$38&gt;'Fase de Grupos'!$E$33:$E$38))*3+SUMPRODUCT(('Fase de Grupos'!$F$33:$F$38=$A51)*ISNUMBER('Fase de Grupos'!$D$33:$D$38)*ISNUMBER('Fase de Grupos'!$E$33:$E$38)*('Fase de Grupos'!$E$33:$E$38&gt;'Fase de Grupos'!$D$33:$D$38))*3+SUMPRODUCT(('Fase de Grupos'!$C$33:$C$38=$A51)*ISNUMBER('Fase de Grupos'!$D$33:$D$38)*ISNUMBER('Fase de Grupos'!$E$33:$E$38)*('Fase de Grupos'!$D$33:$D$38='Fase de Grupos'!$E$33:$E$38))+SUMPRODUCT(('Fase de Grupos'!$F$33:$F$38=$A51)*ISNUMBER('Fase de Grupos'!$D$33:$D$38)*ISNUMBER('Fase de Grupos'!$E$33:$E$38)*('Fase de Grupos'!$E$33:$E$38='Fase de Grupos'!$D$33:$D$38))</f>
        <v>0</v>
      </c>
      <c r="C51" s="14">
        <f>SUMPRODUCT(('Fase de Grupos'!$C$33:$C$38=$A51)*ISNUMBER('Fase de Grupos'!$D$33:$D$38)*ISNUMBER('Fase de Grupos'!$E$33:$E$38)*'Fase de Grupos'!$D$33:$D$38)+SUMPRODUCT(('Fase de Grupos'!$F$33:$F$38=$A51)*ISNUMBER('Fase de Grupos'!$D$33:$D$38)*ISNUMBER('Fase de Grupos'!$E$33:$E$38)*'Fase de Grupos'!$E$33:$E$38)</f>
        <v>0</v>
      </c>
      <c r="D51" s="14">
        <f>SUMPRODUCT(('Fase de Grupos'!$C$33:$C$38=$A51)*ISNUMBER('Fase de Grupos'!$D$33:$D$38)*ISNUMBER('Fase de Grupos'!$E$33:$E$38)*'Fase de Grupos'!$E$33:$E$38)+SUMPRODUCT(('Fase de Grupos'!$F$33:$F$38=$A51)*ISNUMBER('Fase de Grupos'!$D$33:$D$38)*ISNUMBER('Fase de Grupos'!$E$33:$E$38)*'Fase de Grupos'!$D$33:$D$38)</f>
        <v>0</v>
      </c>
      <c r="E51" s="14">
        <f>C51-D51</f>
        <v>0</v>
      </c>
      <c r="F51" s="14">
        <f>B51*10000+(E51+30)*100+C51-3*0.001</f>
        <v>2999.9969999999998</v>
      </c>
      <c r="G51" s="14">
        <f>RANK(F51,$F$48:$F$51)</f>
        <v>4</v>
      </c>
    </row>
    <row r="53" spans="1:7" x14ac:dyDescent="0.25">
      <c r="A53" s="2" t="s">
        <v>118</v>
      </c>
      <c r="B53" s="12" t="s">
        <v>124</v>
      </c>
      <c r="C53" s="12" t="s">
        <v>125</v>
      </c>
      <c r="D53" s="12" t="s">
        <v>126</v>
      </c>
      <c r="E53" s="12" t="s">
        <v>127</v>
      </c>
      <c r="F53" s="12" t="s">
        <v>128</v>
      </c>
      <c r="G53" s="12" t="s">
        <v>129</v>
      </c>
    </row>
    <row r="54" spans="1:7" x14ac:dyDescent="0.25">
      <c r="A54" s="4" t="s">
        <v>73</v>
      </c>
      <c r="B54" s="13">
        <f>SUMPRODUCT(('Fase de Grupos'!$C$39:$C$44=$A54)*ISNUMBER('Fase de Grupos'!$D$39:$D$44)*ISNUMBER('Fase de Grupos'!$E$39:$E$44)*('Fase de Grupos'!$D$39:$D$44&gt;'Fase de Grupos'!$E$39:$E$44))*3+SUMPRODUCT(('Fase de Grupos'!$F$39:$F$44=$A54)*ISNUMBER('Fase de Grupos'!$D$39:$D$44)*ISNUMBER('Fase de Grupos'!$E$39:$E$44)*('Fase de Grupos'!$E$39:$E$44&gt;'Fase de Grupos'!$D$39:$D$44))*3+SUMPRODUCT(('Fase de Grupos'!$C$39:$C$44=$A54)*ISNUMBER('Fase de Grupos'!$D$39:$D$44)*ISNUMBER('Fase de Grupos'!$E$39:$E$44)*('Fase de Grupos'!$D$39:$D$44='Fase de Grupos'!$E$39:$E$44))+SUMPRODUCT(('Fase de Grupos'!$F$39:$F$44=$A54)*ISNUMBER('Fase de Grupos'!$D$39:$D$44)*ISNUMBER('Fase de Grupos'!$E$39:$E$44)*('Fase de Grupos'!$E$39:$E$44='Fase de Grupos'!$D$39:$D$44))</f>
        <v>0</v>
      </c>
      <c r="C54" s="13">
        <f>SUMPRODUCT(('Fase de Grupos'!$C$39:$C$44=$A54)*ISNUMBER('Fase de Grupos'!$D$39:$D$44)*ISNUMBER('Fase de Grupos'!$E$39:$E$44)*'Fase de Grupos'!$D$39:$D$44)+SUMPRODUCT(('Fase de Grupos'!$F$39:$F$44=$A54)*ISNUMBER('Fase de Grupos'!$D$39:$D$44)*ISNUMBER('Fase de Grupos'!$E$39:$E$44)*'Fase de Grupos'!$E$39:$E$44)</f>
        <v>0</v>
      </c>
      <c r="D54" s="13">
        <f>SUMPRODUCT(('Fase de Grupos'!$C$39:$C$44=$A54)*ISNUMBER('Fase de Grupos'!$D$39:$D$44)*ISNUMBER('Fase de Grupos'!$E$39:$E$44)*'Fase de Grupos'!$E$39:$E$44)+SUMPRODUCT(('Fase de Grupos'!$F$39:$F$44=$A54)*ISNUMBER('Fase de Grupos'!$D$39:$D$44)*ISNUMBER('Fase de Grupos'!$E$39:$E$44)*'Fase de Grupos'!$D$39:$D$44)</f>
        <v>0</v>
      </c>
      <c r="E54" s="13">
        <f>C54-D54</f>
        <v>0</v>
      </c>
      <c r="F54" s="13">
        <f>B54*10000+(E54+30)*100+C54-0*0.001</f>
        <v>3000</v>
      </c>
      <c r="G54" s="13">
        <f>RANK(F54,$F$54:$F$57)</f>
        <v>1</v>
      </c>
    </row>
    <row r="55" spans="1:7" x14ac:dyDescent="0.25">
      <c r="A55" s="7" t="s">
        <v>74</v>
      </c>
      <c r="B55" s="14">
        <f>SUMPRODUCT(('Fase de Grupos'!$C$39:$C$44=$A55)*ISNUMBER('Fase de Grupos'!$D$39:$D$44)*ISNUMBER('Fase de Grupos'!$E$39:$E$44)*('Fase de Grupos'!$D$39:$D$44&gt;'Fase de Grupos'!$E$39:$E$44))*3+SUMPRODUCT(('Fase de Grupos'!$F$39:$F$44=$A55)*ISNUMBER('Fase de Grupos'!$D$39:$D$44)*ISNUMBER('Fase de Grupos'!$E$39:$E$44)*('Fase de Grupos'!$E$39:$E$44&gt;'Fase de Grupos'!$D$39:$D$44))*3+SUMPRODUCT(('Fase de Grupos'!$C$39:$C$44=$A55)*ISNUMBER('Fase de Grupos'!$D$39:$D$44)*ISNUMBER('Fase de Grupos'!$E$39:$E$44)*('Fase de Grupos'!$D$39:$D$44='Fase de Grupos'!$E$39:$E$44))+SUMPRODUCT(('Fase de Grupos'!$F$39:$F$44=$A55)*ISNUMBER('Fase de Grupos'!$D$39:$D$44)*ISNUMBER('Fase de Grupos'!$E$39:$E$44)*('Fase de Grupos'!$E$39:$E$44='Fase de Grupos'!$D$39:$D$44))</f>
        <v>0</v>
      </c>
      <c r="C55" s="14">
        <f>SUMPRODUCT(('Fase de Grupos'!$C$39:$C$44=$A55)*ISNUMBER('Fase de Grupos'!$D$39:$D$44)*ISNUMBER('Fase de Grupos'!$E$39:$E$44)*'Fase de Grupos'!$D$39:$D$44)+SUMPRODUCT(('Fase de Grupos'!$F$39:$F$44=$A55)*ISNUMBER('Fase de Grupos'!$D$39:$D$44)*ISNUMBER('Fase de Grupos'!$E$39:$E$44)*'Fase de Grupos'!$E$39:$E$44)</f>
        <v>0</v>
      </c>
      <c r="D55" s="14">
        <f>SUMPRODUCT(('Fase de Grupos'!$C$39:$C$44=$A55)*ISNUMBER('Fase de Grupos'!$D$39:$D$44)*ISNUMBER('Fase de Grupos'!$E$39:$E$44)*'Fase de Grupos'!$E$39:$E$44)+SUMPRODUCT(('Fase de Grupos'!$F$39:$F$44=$A55)*ISNUMBER('Fase de Grupos'!$D$39:$D$44)*ISNUMBER('Fase de Grupos'!$E$39:$E$44)*'Fase de Grupos'!$D$39:$D$44)</f>
        <v>0</v>
      </c>
      <c r="E55" s="14">
        <f>C55-D55</f>
        <v>0</v>
      </c>
      <c r="F55" s="14">
        <f>B55*10000+(E55+30)*100+C55-1*0.001</f>
        <v>2999.9989999999998</v>
      </c>
      <c r="G55" s="14">
        <f>RANK(F55,$F$54:$F$57)</f>
        <v>2</v>
      </c>
    </row>
    <row r="56" spans="1:7" x14ac:dyDescent="0.25">
      <c r="A56" s="4" t="s">
        <v>75</v>
      </c>
      <c r="B56" s="13">
        <f>SUMPRODUCT(('Fase de Grupos'!$C$39:$C$44=$A56)*ISNUMBER('Fase de Grupos'!$D$39:$D$44)*ISNUMBER('Fase de Grupos'!$E$39:$E$44)*('Fase de Grupos'!$D$39:$D$44&gt;'Fase de Grupos'!$E$39:$E$44))*3+SUMPRODUCT(('Fase de Grupos'!$F$39:$F$44=$A56)*ISNUMBER('Fase de Grupos'!$D$39:$D$44)*ISNUMBER('Fase de Grupos'!$E$39:$E$44)*('Fase de Grupos'!$E$39:$E$44&gt;'Fase de Grupos'!$D$39:$D$44))*3+SUMPRODUCT(('Fase de Grupos'!$C$39:$C$44=$A56)*ISNUMBER('Fase de Grupos'!$D$39:$D$44)*ISNUMBER('Fase de Grupos'!$E$39:$E$44)*('Fase de Grupos'!$D$39:$D$44='Fase de Grupos'!$E$39:$E$44))+SUMPRODUCT(('Fase de Grupos'!$F$39:$F$44=$A56)*ISNUMBER('Fase de Grupos'!$D$39:$D$44)*ISNUMBER('Fase de Grupos'!$E$39:$E$44)*('Fase de Grupos'!$E$39:$E$44='Fase de Grupos'!$D$39:$D$44))</f>
        <v>0</v>
      </c>
      <c r="C56" s="13">
        <f>SUMPRODUCT(('Fase de Grupos'!$C$39:$C$44=$A56)*ISNUMBER('Fase de Grupos'!$D$39:$D$44)*ISNUMBER('Fase de Grupos'!$E$39:$E$44)*'Fase de Grupos'!$D$39:$D$44)+SUMPRODUCT(('Fase de Grupos'!$F$39:$F$44=$A56)*ISNUMBER('Fase de Grupos'!$D$39:$D$44)*ISNUMBER('Fase de Grupos'!$E$39:$E$44)*'Fase de Grupos'!$E$39:$E$44)</f>
        <v>0</v>
      </c>
      <c r="D56" s="13">
        <f>SUMPRODUCT(('Fase de Grupos'!$C$39:$C$44=$A56)*ISNUMBER('Fase de Grupos'!$D$39:$D$44)*ISNUMBER('Fase de Grupos'!$E$39:$E$44)*'Fase de Grupos'!$E$39:$E$44)+SUMPRODUCT(('Fase de Grupos'!$F$39:$F$44=$A56)*ISNUMBER('Fase de Grupos'!$D$39:$D$44)*ISNUMBER('Fase de Grupos'!$E$39:$E$44)*'Fase de Grupos'!$D$39:$D$44)</f>
        <v>0</v>
      </c>
      <c r="E56" s="13">
        <f>C56-D56</f>
        <v>0</v>
      </c>
      <c r="F56" s="13">
        <f>B56*10000+(E56+30)*100+C56-2*0.001</f>
        <v>2999.998</v>
      </c>
      <c r="G56" s="13">
        <f>RANK(F56,$F$54:$F$57)</f>
        <v>3</v>
      </c>
    </row>
    <row r="57" spans="1:7" x14ac:dyDescent="0.25">
      <c r="A57" s="7" t="s">
        <v>76</v>
      </c>
      <c r="B57" s="14">
        <f>SUMPRODUCT(('Fase de Grupos'!$C$39:$C$44=$A57)*ISNUMBER('Fase de Grupos'!$D$39:$D$44)*ISNUMBER('Fase de Grupos'!$E$39:$E$44)*('Fase de Grupos'!$D$39:$D$44&gt;'Fase de Grupos'!$E$39:$E$44))*3+SUMPRODUCT(('Fase de Grupos'!$F$39:$F$44=$A57)*ISNUMBER('Fase de Grupos'!$D$39:$D$44)*ISNUMBER('Fase de Grupos'!$E$39:$E$44)*('Fase de Grupos'!$E$39:$E$44&gt;'Fase de Grupos'!$D$39:$D$44))*3+SUMPRODUCT(('Fase de Grupos'!$C$39:$C$44=$A57)*ISNUMBER('Fase de Grupos'!$D$39:$D$44)*ISNUMBER('Fase de Grupos'!$E$39:$E$44)*('Fase de Grupos'!$D$39:$D$44='Fase de Grupos'!$E$39:$E$44))+SUMPRODUCT(('Fase de Grupos'!$F$39:$F$44=$A57)*ISNUMBER('Fase de Grupos'!$D$39:$D$44)*ISNUMBER('Fase de Grupos'!$E$39:$E$44)*('Fase de Grupos'!$E$39:$E$44='Fase de Grupos'!$D$39:$D$44))</f>
        <v>0</v>
      </c>
      <c r="C57" s="14">
        <f>SUMPRODUCT(('Fase de Grupos'!$C$39:$C$44=$A57)*ISNUMBER('Fase de Grupos'!$D$39:$D$44)*ISNUMBER('Fase de Grupos'!$E$39:$E$44)*'Fase de Grupos'!$D$39:$D$44)+SUMPRODUCT(('Fase de Grupos'!$F$39:$F$44=$A57)*ISNUMBER('Fase de Grupos'!$D$39:$D$44)*ISNUMBER('Fase de Grupos'!$E$39:$E$44)*'Fase de Grupos'!$E$39:$E$44)</f>
        <v>0</v>
      </c>
      <c r="D57" s="14">
        <f>SUMPRODUCT(('Fase de Grupos'!$C$39:$C$44=$A57)*ISNUMBER('Fase de Grupos'!$D$39:$D$44)*ISNUMBER('Fase de Grupos'!$E$39:$E$44)*'Fase de Grupos'!$E$39:$E$44)+SUMPRODUCT(('Fase de Grupos'!$F$39:$F$44=$A57)*ISNUMBER('Fase de Grupos'!$D$39:$D$44)*ISNUMBER('Fase de Grupos'!$E$39:$E$44)*'Fase de Grupos'!$D$39:$D$44)</f>
        <v>0</v>
      </c>
      <c r="E57" s="14">
        <f>C57-D57</f>
        <v>0</v>
      </c>
      <c r="F57" s="14">
        <f>B57*10000+(E57+30)*100+C57-3*0.001</f>
        <v>2999.9969999999998</v>
      </c>
      <c r="G57" s="14">
        <f>RANK(F57,$F$54:$F$57)</f>
        <v>4</v>
      </c>
    </row>
    <row r="59" spans="1:7" x14ac:dyDescent="0.25">
      <c r="A59" s="2" t="s">
        <v>119</v>
      </c>
      <c r="B59" s="12" t="s">
        <v>124</v>
      </c>
      <c r="C59" s="12" t="s">
        <v>125</v>
      </c>
      <c r="D59" s="12" t="s">
        <v>126</v>
      </c>
      <c r="E59" s="12" t="s">
        <v>127</v>
      </c>
      <c r="F59" s="12" t="s">
        <v>128</v>
      </c>
      <c r="G59" s="12" t="s">
        <v>129</v>
      </c>
    </row>
    <row r="60" spans="1:7" x14ac:dyDescent="0.25">
      <c r="A60" s="4" t="s">
        <v>78</v>
      </c>
      <c r="B60" s="13">
        <f>SUMPRODUCT(('Fase de Grupos'!$C$45:$C$50=$A60)*ISNUMBER('Fase de Grupos'!$D$45:$D$50)*ISNUMBER('Fase de Grupos'!$E$45:$E$50)*('Fase de Grupos'!$D$45:$D$50&gt;'Fase de Grupos'!$E$45:$E$50))*3+SUMPRODUCT(('Fase de Grupos'!$F$45:$F$50=$A60)*ISNUMBER('Fase de Grupos'!$D$45:$D$50)*ISNUMBER('Fase de Grupos'!$E$45:$E$50)*('Fase de Grupos'!$E$45:$E$50&gt;'Fase de Grupos'!$D$45:$D$50))*3+SUMPRODUCT(('Fase de Grupos'!$C$45:$C$50=$A60)*ISNUMBER('Fase de Grupos'!$D$45:$D$50)*ISNUMBER('Fase de Grupos'!$E$45:$E$50)*('Fase de Grupos'!$D$45:$D$50='Fase de Grupos'!$E$45:$E$50))+SUMPRODUCT(('Fase de Grupos'!$F$45:$F$50=$A60)*ISNUMBER('Fase de Grupos'!$D$45:$D$50)*ISNUMBER('Fase de Grupos'!$E$45:$E$50)*('Fase de Grupos'!$E$45:$E$50='Fase de Grupos'!$D$45:$D$50))</f>
        <v>0</v>
      </c>
      <c r="C60" s="13">
        <f>SUMPRODUCT(('Fase de Grupos'!$C$45:$C$50=$A60)*ISNUMBER('Fase de Grupos'!$D$45:$D$50)*ISNUMBER('Fase de Grupos'!$E$45:$E$50)*'Fase de Grupos'!$D$45:$D$50)+SUMPRODUCT(('Fase de Grupos'!$F$45:$F$50=$A60)*ISNUMBER('Fase de Grupos'!$D$45:$D$50)*ISNUMBER('Fase de Grupos'!$E$45:$E$50)*'Fase de Grupos'!$E$45:$E$50)</f>
        <v>0</v>
      </c>
      <c r="D60" s="13">
        <f>SUMPRODUCT(('Fase de Grupos'!$C$45:$C$50=$A60)*ISNUMBER('Fase de Grupos'!$D$45:$D$50)*ISNUMBER('Fase de Grupos'!$E$45:$E$50)*'Fase de Grupos'!$E$45:$E$50)+SUMPRODUCT(('Fase de Grupos'!$F$45:$F$50=$A60)*ISNUMBER('Fase de Grupos'!$D$45:$D$50)*ISNUMBER('Fase de Grupos'!$E$45:$E$50)*'Fase de Grupos'!$D$45:$D$50)</f>
        <v>0</v>
      </c>
      <c r="E60" s="13">
        <f>C60-D60</f>
        <v>0</v>
      </c>
      <c r="F60" s="13">
        <f>B60*10000+(E60+30)*100+C60-0*0.001</f>
        <v>3000</v>
      </c>
      <c r="G60" s="13">
        <f>RANK(F60,$F$60:$F$63)</f>
        <v>1</v>
      </c>
    </row>
    <row r="61" spans="1:7" x14ac:dyDescent="0.25">
      <c r="A61" s="7" t="s">
        <v>79</v>
      </c>
      <c r="B61" s="14">
        <f>SUMPRODUCT(('Fase de Grupos'!$C$45:$C$50=$A61)*ISNUMBER('Fase de Grupos'!$D$45:$D$50)*ISNUMBER('Fase de Grupos'!$E$45:$E$50)*('Fase de Grupos'!$D$45:$D$50&gt;'Fase de Grupos'!$E$45:$E$50))*3+SUMPRODUCT(('Fase de Grupos'!$F$45:$F$50=$A61)*ISNUMBER('Fase de Grupos'!$D$45:$D$50)*ISNUMBER('Fase de Grupos'!$E$45:$E$50)*('Fase de Grupos'!$E$45:$E$50&gt;'Fase de Grupos'!$D$45:$D$50))*3+SUMPRODUCT(('Fase de Grupos'!$C$45:$C$50=$A61)*ISNUMBER('Fase de Grupos'!$D$45:$D$50)*ISNUMBER('Fase de Grupos'!$E$45:$E$50)*('Fase de Grupos'!$D$45:$D$50='Fase de Grupos'!$E$45:$E$50))+SUMPRODUCT(('Fase de Grupos'!$F$45:$F$50=$A61)*ISNUMBER('Fase de Grupos'!$D$45:$D$50)*ISNUMBER('Fase de Grupos'!$E$45:$E$50)*('Fase de Grupos'!$E$45:$E$50='Fase de Grupos'!$D$45:$D$50))</f>
        <v>0</v>
      </c>
      <c r="C61" s="14">
        <f>SUMPRODUCT(('Fase de Grupos'!$C$45:$C$50=$A61)*ISNUMBER('Fase de Grupos'!$D$45:$D$50)*ISNUMBER('Fase de Grupos'!$E$45:$E$50)*'Fase de Grupos'!$D$45:$D$50)+SUMPRODUCT(('Fase de Grupos'!$F$45:$F$50=$A61)*ISNUMBER('Fase de Grupos'!$D$45:$D$50)*ISNUMBER('Fase de Grupos'!$E$45:$E$50)*'Fase de Grupos'!$E$45:$E$50)</f>
        <v>0</v>
      </c>
      <c r="D61" s="14">
        <f>SUMPRODUCT(('Fase de Grupos'!$C$45:$C$50=$A61)*ISNUMBER('Fase de Grupos'!$D$45:$D$50)*ISNUMBER('Fase de Grupos'!$E$45:$E$50)*'Fase de Grupos'!$E$45:$E$50)+SUMPRODUCT(('Fase de Grupos'!$F$45:$F$50=$A61)*ISNUMBER('Fase de Grupos'!$D$45:$D$50)*ISNUMBER('Fase de Grupos'!$E$45:$E$50)*'Fase de Grupos'!$D$45:$D$50)</f>
        <v>0</v>
      </c>
      <c r="E61" s="14">
        <f>C61-D61</f>
        <v>0</v>
      </c>
      <c r="F61" s="14">
        <f>B61*10000+(E61+30)*100+C61-1*0.001</f>
        <v>2999.9989999999998</v>
      </c>
      <c r="G61" s="14">
        <f>RANK(F61,$F$60:$F$63)</f>
        <v>2</v>
      </c>
    </row>
    <row r="62" spans="1:7" x14ac:dyDescent="0.25">
      <c r="A62" s="4" t="s">
        <v>80</v>
      </c>
      <c r="B62" s="13">
        <f>SUMPRODUCT(('Fase de Grupos'!$C$45:$C$50=$A62)*ISNUMBER('Fase de Grupos'!$D$45:$D$50)*ISNUMBER('Fase de Grupos'!$E$45:$E$50)*('Fase de Grupos'!$D$45:$D$50&gt;'Fase de Grupos'!$E$45:$E$50))*3+SUMPRODUCT(('Fase de Grupos'!$F$45:$F$50=$A62)*ISNUMBER('Fase de Grupos'!$D$45:$D$50)*ISNUMBER('Fase de Grupos'!$E$45:$E$50)*('Fase de Grupos'!$E$45:$E$50&gt;'Fase de Grupos'!$D$45:$D$50))*3+SUMPRODUCT(('Fase de Grupos'!$C$45:$C$50=$A62)*ISNUMBER('Fase de Grupos'!$D$45:$D$50)*ISNUMBER('Fase de Grupos'!$E$45:$E$50)*('Fase de Grupos'!$D$45:$D$50='Fase de Grupos'!$E$45:$E$50))+SUMPRODUCT(('Fase de Grupos'!$F$45:$F$50=$A62)*ISNUMBER('Fase de Grupos'!$D$45:$D$50)*ISNUMBER('Fase de Grupos'!$E$45:$E$50)*('Fase de Grupos'!$E$45:$E$50='Fase de Grupos'!$D$45:$D$50))</f>
        <v>0</v>
      </c>
      <c r="C62" s="13">
        <f>SUMPRODUCT(('Fase de Grupos'!$C$45:$C$50=$A62)*ISNUMBER('Fase de Grupos'!$D$45:$D$50)*ISNUMBER('Fase de Grupos'!$E$45:$E$50)*'Fase de Grupos'!$D$45:$D$50)+SUMPRODUCT(('Fase de Grupos'!$F$45:$F$50=$A62)*ISNUMBER('Fase de Grupos'!$D$45:$D$50)*ISNUMBER('Fase de Grupos'!$E$45:$E$50)*'Fase de Grupos'!$E$45:$E$50)</f>
        <v>0</v>
      </c>
      <c r="D62" s="13">
        <f>SUMPRODUCT(('Fase de Grupos'!$C$45:$C$50=$A62)*ISNUMBER('Fase de Grupos'!$D$45:$D$50)*ISNUMBER('Fase de Grupos'!$E$45:$E$50)*'Fase de Grupos'!$E$45:$E$50)+SUMPRODUCT(('Fase de Grupos'!$F$45:$F$50=$A62)*ISNUMBER('Fase de Grupos'!$D$45:$D$50)*ISNUMBER('Fase de Grupos'!$E$45:$E$50)*'Fase de Grupos'!$D$45:$D$50)</f>
        <v>0</v>
      </c>
      <c r="E62" s="13">
        <f>C62-D62</f>
        <v>0</v>
      </c>
      <c r="F62" s="13">
        <f>B62*10000+(E62+30)*100+C62-2*0.001</f>
        <v>2999.998</v>
      </c>
      <c r="G62" s="13">
        <f>RANK(F62,$F$60:$F$63)</f>
        <v>3</v>
      </c>
    </row>
    <row r="63" spans="1:7" x14ac:dyDescent="0.25">
      <c r="A63" s="7" t="s">
        <v>81</v>
      </c>
      <c r="B63" s="14">
        <f>SUMPRODUCT(('Fase de Grupos'!$C$45:$C$50=$A63)*ISNUMBER('Fase de Grupos'!$D$45:$D$50)*ISNUMBER('Fase de Grupos'!$E$45:$E$50)*('Fase de Grupos'!$D$45:$D$50&gt;'Fase de Grupos'!$E$45:$E$50))*3+SUMPRODUCT(('Fase de Grupos'!$F$45:$F$50=$A63)*ISNUMBER('Fase de Grupos'!$D$45:$D$50)*ISNUMBER('Fase de Grupos'!$E$45:$E$50)*('Fase de Grupos'!$E$45:$E$50&gt;'Fase de Grupos'!$D$45:$D$50))*3+SUMPRODUCT(('Fase de Grupos'!$C$45:$C$50=$A63)*ISNUMBER('Fase de Grupos'!$D$45:$D$50)*ISNUMBER('Fase de Grupos'!$E$45:$E$50)*('Fase de Grupos'!$D$45:$D$50='Fase de Grupos'!$E$45:$E$50))+SUMPRODUCT(('Fase de Grupos'!$F$45:$F$50=$A63)*ISNUMBER('Fase de Grupos'!$D$45:$D$50)*ISNUMBER('Fase de Grupos'!$E$45:$E$50)*('Fase de Grupos'!$E$45:$E$50='Fase de Grupos'!$D$45:$D$50))</f>
        <v>0</v>
      </c>
      <c r="C63" s="14">
        <f>SUMPRODUCT(('Fase de Grupos'!$C$45:$C$50=$A63)*ISNUMBER('Fase de Grupos'!$D$45:$D$50)*ISNUMBER('Fase de Grupos'!$E$45:$E$50)*'Fase de Grupos'!$D$45:$D$50)+SUMPRODUCT(('Fase de Grupos'!$F$45:$F$50=$A63)*ISNUMBER('Fase de Grupos'!$D$45:$D$50)*ISNUMBER('Fase de Grupos'!$E$45:$E$50)*'Fase de Grupos'!$E$45:$E$50)</f>
        <v>0</v>
      </c>
      <c r="D63" s="14">
        <f>SUMPRODUCT(('Fase de Grupos'!$C$45:$C$50=$A63)*ISNUMBER('Fase de Grupos'!$D$45:$D$50)*ISNUMBER('Fase de Grupos'!$E$45:$E$50)*'Fase de Grupos'!$E$45:$E$50)+SUMPRODUCT(('Fase de Grupos'!$F$45:$F$50=$A63)*ISNUMBER('Fase de Grupos'!$D$45:$D$50)*ISNUMBER('Fase de Grupos'!$E$45:$E$50)*'Fase de Grupos'!$D$45:$D$50)</f>
        <v>0</v>
      </c>
      <c r="E63" s="14">
        <f>C63-D63</f>
        <v>0</v>
      </c>
      <c r="F63" s="14">
        <f>B63*10000+(E63+30)*100+C63-3*0.001</f>
        <v>2999.9969999999998</v>
      </c>
      <c r="G63" s="14">
        <f>RANK(F63,$F$60:$F$63)</f>
        <v>4</v>
      </c>
    </row>
    <row r="65" spans="1:7" x14ac:dyDescent="0.25">
      <c r="A65" s="2" t="s">
        <v>120</v>
      </c>
      <c r="B65" s="12" t="s">
        <v>124</v>
      </c>
      <c r="C65" s="12" t="s">
        <v>125</v>
      </c>
      <c r="D65" s="12" t="s">
        <v>126</v>
      </c>
      <c r="E65" s="12" t="s">
        <v>127</v>
      </c>
      <c r="F65" s="12" t="s">
        <v>128</v>
      </c>
      <c r="G65" s="12" t="s">
        <v>129</v>
      </c>
    </row>
    <row r="66" spans="1:7" x14ac:dyDescent="0.25">
      <c r="A66" s="4" t="s">
        <v>83</v>
      </c>
      <c r="B66" s="13">
        <f>SUMPRODUCT(('Fase de Grupos'!$C$51:$C$56=$A66)*ISNUMBER('Fase de Grupos'!$D$51:$D$56)*ISNUMBER('Fase de Grupos'!$E$51:$E$56)*('Fase de Grupos'!$D$51:$D$56&gt;'Fase de Grupos'!$E$51:$E$56))*3+SUMPRODUCT(('Fase de Grupos'!$F$51:$F$56=$A66)*ISNUMBER('Fase de Grupos'!$D$51:$D$56)*ISNUMBER('Fase de Grupos'!$E$51:$E$56)*('Fase de Grupos'!$E$51:$E$56&gt;'Fase de Grupos'!$D$51:$D$56))*3+SUMPRODUCT(('Fase de Grupos'!$C$51:$C$56=$A66)*ISNUMBER('Fase de Grupos'!$D$51:$D$56)*ISNUMBER('Fase de Grupos'!$E$51:$E$56)*('Fase de Grupos'!$D$51:$D$56='Fase de Grupos'!$E$51:$E$56))+SUMPRODUCT(('Fase de Grupos'!$F$51:$F$56=$A66)*ISNUMBER('Fase de Grupos'!$D$51:$D$56)*ISNUMBER('Fase de Grupos'!$E$51:$E$56)*('Fase de Grupos'!$E$51:$E$56='Fase de Grupos'!$D$51:$D$56))</f>
        <v>0</v>
      </c>
      <c r="C66" s="13">
        <f>SUMPRODUCT(('Fase de Grupos'!$C$51:$C$56=$A66)*ISNUMBER('Fase de Grupos'!$D$51:$D$56)*ISNUMBER('Fase de Grupos'!$E$51:$E$56)*'Fase de Grupos'!$D$51:$D$56)+SUMPRODUCT(('Fase de Grupos'!$F$51:$F$56=$A66)*ISNUMBER('Fase de Grupos'!$D$51:$D$56)*ISNUMBER('Fase de Grupos'!$E$51:$E$56)*'Fase de Grupos'!$E$51:$E$56)</f>
        <v>0</v>
      </c>
      <c r="D66" s="13">
        <f>SUMPRODUCT(('Fase de Grupos'!$C$51:$C$56=$A66)*ISNUMBER('Fase de Grupos'!$D$51:$D$56)*ISNUMBER('Fase de Grupos'!$E$51:$E$56)*'Fase de Grupos'!$E$51:$E$56)+SUMPRODUCT(('Fase de Grupos'!$F$51:$F$56=$A66)*ISNUMBER('Fase de Grupos'!$D$51:$D$56)*ISNUMBER('Fase de Grupos'!$E$51:$E$56)*'Fase de Grupos'!$D$51:$D$56)</f>
        <v>0</v>
      </c>
      <c r="E66" s="13">
        <f>C66-D66</f>
        <v>0</v>
      </c>
      <c r="F66" s="13">
        <f>B66*10000+(E66+30)*100+C66-0*0.001</f>
        <v>3000</v>
      </c>
      <c r="G66" s="13">
        <f>RANK(F66,$F$66:$F$69)</f>
        <v>1</v>
      </c>
    </row>
    <row r="67" spans="1:7" x14ac:dyDescent="0.25">
      <c r="A67" s="7" t="s">
        <v>84</v>
      </c>
      <c r="B67" s="14">
        <f>SUMPRODUCT(('Fase de Grupos'!$C$51:$C$56=$A67)*ISNUMBER('Fase de Grupos'!$D$51:$D$56)*ISNUMBER('Fase de Grupos'!$E$51:$E$56)*('Fase de Grupos'!$D$51:$D$56&gt;'Fase de Grupos'!$E$51:$E$56))*3+SUMPRODUCT(('Fase de Grupos'!$F$51:$F$56=$A67)*ISNUMBER('Fase de Grupos'!$D$51:$D$56)*ISNUMBER('Fase de Grupos'!$E$51:$E$56)*('Fase de Grupos'!$E$51:$E$56&gt;'Fase de Grupos'!$D$51:$D$56))*3+SUMPRODUCT(('Fase de Grupos'!$C$51:$C$56=$A67)*ISNUMBER('Fase de Grupos'!$D$51:$D$56)*ISNUMBER('Fase de Grupos'!$E$51:$E$56)*('Fase de Grupos'!$D$51:$D$56='Fase de Grupos'!$E$51:$E$56))+SUMPRODUCT(('Fase de Grupos'!$F$51:$F$56=$A67)*ISNUMBER('Fase de Grupos'!$D$51:$D$56)*ISNUMBER('Fase de Grupos'!$E$51:$E$56)*('Fase de Grupos'!$E$51:$E$56='Fase de Grupos'!$D$51:$D$56))</f>
        <v>0</v>
      </c>
      <c r="C67" s="14">
        <f>SUMPRODUCT(('Fase de Grupos'!$C$51:$C$56=$A67)*ISNUMBER('Fase de Grupos'!$D$51:$D$56)*ISNUMBER('Fase de Grupos'!$E$51:$E$56)*'Fase de Grupos'!$D$51:$D$56)+SUMPRODUCT(('Fase de Grupos'!$F$51:$F$56=$A67)*ISNUMBER('Fase de Grupos'!$D$51:$D$56)*ISNUMBER('Fase de Grupos'!$E$51:$E$56)*'Fase de Grupos'!$E$51:$E$56)</f>
        <v>0</v>
      </c>
      <c r="D67" s="14">
        <f>SUMPRODUCT(('Fase de Grupos'!$C$51:$C$56=$A67)*ISNUMBER('Fase de Grupos'!$D$51:$D$56)*ISNUMBER('Fase de Grupos'!$E$51:$E$56)*'Fase de Grupos'!$E$51:$E$56)+SUMPRODUCT(('Fase de Grupos'!$F$51:$F$56=$A67)*ISNUMBER('Fase de Grupos'!$D$51:$D$56)*ISNUMBER('Fase de Grupos'!$E$51:$E$56)*'Fase de Grupos'!$D$51:$D$56)</f>
        <v>0</v>
      </c>
      <c r="E67" s="14">
        <f>C67-D67</f>
        <v>0</v>
      </c>
      <c r="F67" s="14">
        <f>B67*10000+(E67+30)*100+C67-1*0.001</f>
        <v>2999.9989999999998</v>
      </c>
      <c r="G67" s="14">
        <f>RANK(F67,$F$66:$F$69)</f>
        <v>2</v>
      </c>
    </row>
    <row r="68" spans="1:7" x14ac:dyDescent="0.25">
      <c r="A68" s="4" t="s">
        <v>85</v>
      </c>
      <c r="B68" s="13">
        <f>SUMPRODUCT(('Fase de Grupos'!$C$51:$C$56=$A68)*ISNUMBER('Fase de Grupos'!$D$51:$D$56)*ISNUMBER('Fase de Grupos'!$E$51:$E$56)*('Fase de Grupos'!$D$51:$D$56&gt;'Fase de Grupos'!$E$51:$E$56))*3+SUMPRODUCT(('Fase de Grupos'!$F$51:$F$56=$A68)*ISNUMBER('Fase de Grupos'!$D$51:$D$56)*ISNUMBER('Fase de Grupos'!$E$51:$E$56)*('Fase de Grupos'!$E$51:$E$56&gt;'Fase de Grupos'!$D$51:$D$56))*3+SUMPRODUCT(('Fase de Grupos'!$C$51:$C$56=$A68)*ISNUMBER('Fase de Grupos'!$D$51:$D$56)*ISNUMBER('Fase de Grupos'!$E$51:$E$56)*('Fase de Grupos'!$D$51:$D$56='Fase de Grupos'!$E$51:$E$56))+SUMPRODUCT(('Fase de Grupos'!$F$51:$F$56=$A68)*ISNUMBER('Fase de Grupos'!$D$51:$D$56)*ISNUMBER('Fase de Grupos'!$E$51:$E$56)*('Fase de Grupos'!$E$51:$E$56='Fase de Grupos'!$D$51:$D$56))</f>
        <v>0</v>
      </c>
      <c r="C68" s="13">
        <f>SUMPRODUCT(('Fase de Grupos'!$C$51:$C$56=$A68)*ISNUMBER('Fase de Grupos'!$D$51:$D$56)*ISNUMBER('Fase de Grupos'!$E$51:$E$56)*'Fase de Grupos'!$D$51:$D$56)+SUMPRODUCT(('Fase de Grupos'!$F$51:$F$56=$A68)*ISNUMBER('Fase de Grupos'!$D$51:$D$56)*ISNUMBER('Fase de Grupos'!$E$51:$E$56)*'Fase de Grupos'!$E$51:$E$56)</f>
        <v>0</v>
      </c>
      <c r="D68" s="13">
        <f>SUMPRODUCT(('Fase de Grupos'!$C$51:$C$56=$A68)*ISNUMBER('Fase de Grupos'!$D$51:$D$56)*ISNUMBER('Fase de Grupos'!$E$51:$E$56)*'Fase de Grupos'!$E$51:$E$56)+SUMPRODUCT(('Fase de Grupos'!$F$51:$F$56=$A68)*ISNUMBER('Fase de Grupos'!$D$51:$D$56)*ISNUMBER('Fase de Grupos'!$E$51:$E$56)*'Fase de Grupos'!$D$51:$D$56)</f>
        <v>0</v>
      </c>
      <c r="E68" s="13">
        <f>C68-D68</f>
        <v>0</v>
      </c>
      <c r="F68" s="13">
        <f>B68*10000+(E68+30)*100+C68-2*0.001</f>
        <v>2999.998</v>
      </c>
      <c r="G68" s="13">
        <f>RANK(F68,$F$66:$F$69)</f>
        <v>3</v>
      </c>
    </row>
    <row r="69" spans="1:7" x14ac:dyDescent="0.25">
      <c r="A69" s="7" t="s">
        <v>86</v>
      </c>
      <c r="B69" s="14">
        <f>SUMPRODUCT(('Fase de Grupos'!$C$51:$C$56=$A69)*ISNUMBER('Fase de Grupos'!$D$51:$D$56)*ISNUMBER('Fase de Grupos'!$E$51:$E$56)*('Fase de Grupos'!$D$51:$D$56&gt;'Fase de Grupos'!$E$51:$E$56))*3+SUMPRODUCT(('Fase de Grupos'!$F$51:$F$56=$A69)*ISNUMBER('Fase de Grupos'!$D$51:$D$56)*ISNUMBER('Fase de Grupos'!$E$51:$E$56)*('Fase de Grupos'!$E$51:$E$56&gt;'Fase de Grupos'!$D$51:$D$56))*3+SUMPRODUCT(('Fase de Grupos'!$C$51:$C$56=$A69)*ISNUMBER('Fase de Grupos'!$D$51:$D$56)*ISNUMBER('Fase de Grupos'!$E$51:$E$56)*('Fase de Grupos'!$D$51:$D$56='Fase de Grupos'!$E$51:$E$56))+SUMPRODUCT(('Fase de Grupos'!$F$51:$F$56=$A69)*ISNUMBER('Fase de Grupos'!$D$51:$D$56)*ISNUMBER('Fase de Grupos'!$E$51:$E$56)*('Fase de Grupos'!$E$51:$E$56='Fase de Grupos'!$D$51:$D$56))</f>
        <v>0</v>
      </c>
      <c r="C69" s="14">
        <f>SUMPRODUCT(('Fase de Grupos'!$C$51:$C$56=$A69)*ISNUMBER('Fase de Grupos'!$D$51:$D$56)*ISNUMBER('Fase de Grupos'!$E$51:$E$56)*'Fase de Grupos'!$D$51:$D$56)+SUMPRODUCT(('Fase de Grupos'!$F$51:$F$56=$A69)*ISNUMBER('Fase de Grupos'!$D$51:$D$56)*ISNUMBER('Fase de Grupos'!$E$51:$E$56)*'Fase de Grupos'!$E$51:$E$56)</f>
        <v>0</v>
      </c>
      <c r="D69" s="14">
        <f>SUMPRODUCT(('Fase de Grupos'!$C$51:$C$56=$A69)*ISNUMBER('Fase de Grupos'!$D$51:$D$56)*ISNUMBER('Fase de Grupos'!$E$51:$E$56)*'Fase de Grupos'!$E$51:$E$56)+SUMPRODUCT(('Fase de Grupos'!$F$51:$F$56=$A69)*ISNUMBER('Fase de Grupos'!$D$51:$D$56)*ISNUMBER('Fase de Grupos'!$E$51:$E$56)*'Fase de Grupos'!$D$51:$D$56)</f>
        <v>0</v>
      </c>
      <c r="E69" s="14">
        <f>C69-D69</f>
        <v>0</v>
      </c>
      <c r="F69" s="14">
        <f>B69*10000+(E69+30)*100+C69-3*0.001</f>
        <v>2999.9969999999998</v>
      </c>
      <c r="G69" s="14">
        <f>RANK(F69,$F$66:$F$69)</f>
        <v>4</v>
      </c>
    </row>
    <row r="71" spans="1:7" x14ac:dyDescent="0.25">
      <c r="A71" s="2" t="s">
        <v>121</v>
      </c>
      <c r="B71" s="12" t="s">
        <v>124</v>
      </c>
      <c r="C71" s="12" t="s">
        <v>125</v>
      </c>
      <c r="D71" s="12" t="s">
        <v>126</v>
      </c>
      <c r="E71" s="12" t="s">
        <v>127</v>
      </c>
      <c r="F71" s="12" t="s">
        <v>128</v>
      </c>
      <c r="G71" s="12" t="s">
        <v>129</v>
      </c>
    </row>
    <row r="72" spans="1:7" x14ac:dyDescent="0.25">
      <c r="A72" s="4" t="s">
        <v>88</v>
      </c>
      <c r="B72" s="13">
        <f>SUMPRODUCT(('Fase de Grupos'!$C$57:$C$62=$A72)*ISNUMBER('Fase de Grupos'!$D$57:$D$62)*ISNUMBER('Fase de Grupos'!$E$57:$E$62)*('Fase de Grupos'!$D$57:$D$62&gt;'Fase de Grupos'!$E$57:$E$62))*3+SUMPRODUCT(('Fase de Grupos'!$F$57:$F$62=$A72)*ISNUMBER('Fase de Grupos'!$D$57:$D$62)*ISNUMBER('Fase de Grupos'!$E$57:$E$62)*('Fase de Grupos'!$E$57:$E$62&gt;'Fase de Grupos'!$D$57:$D$62))*3+SUMPRODUCT(('Fase de Grupos'!$C$57:$C$62=$A72)*ISNUMBER('Fase de Grupos'!$D$57:$D$62)*ISNUMBER('Fase de Grupos'!$E$57:$E$62)*('Fase de Grupos'!$D$57:$D$62='Fase de Grupos'!$E$57:$E$62))+SUMPRODUCT(('Fase de Grupos'!$F$57:$F$62=$A72)*ISNUMBER('Fase de Grupos'!$D$57:$D$62)*ISNUMBER('Fase de Grupos'!$E$57:$E$62)*('Fase de Grupos'!$E$57:$E$62='Fase de Grupos'!$D$57:$D$62))</f>
        <v>0</v>
      </c>
      <c r="C72" s="13">
        <f>SUMPRODUCT(('Fase de Grupos'!$C$57:$C$62=$A72)*ISNUMBER('Fase de Grupos'!$D$57:$D$62)*ISNUMBER('Fase de Grupos'!$E$57:$E$62)*'Fase de Grupos'!$D$57:$D$62)+SUMPRODUCT(('Fase de Grupos'!$F$57:$F$62=$A72)*ISNUMBER('Fase de Grupos'!$D$57:$D$62)*ISNUMBER('Fase de Grupos'!$E$57:$E$62)*'Fase de Grupos'!$E$57:$E$62)</f>
        <v>0</v>
      </c>
      <c r="D72" s="13">
        <f>SUMPRODUCT(('Fase de Grupos'!$C$57:$C$62=$A72)*ISNUMBER('Fase de Grupos'!$D$57:$D$62)*ISNUMBER('Fase de Grupos'!$E$57:$E$62)*'Fase de Grupos'!$E$57:$E$62)+SUMPRODUCT(('Fase de Grupos'!$F$57:$F$62=$A72)*ISNUMBER('Fase de Grupos'!$D$57:$D$62)*ISNUMBER('Fase de Grupos'!$E$57:$E$62)*'Fase de Grupos'!$D$57:$D$62)</f>
        <v>0</v>
      </c>
      <c r="E72" s="13">
        <f>C72-D72</f>
        <v>0</v>
      </c>
      <c r="F72" s="13">
        <f>B72*10000+(E72+30)*100+C72-0*0.001</f>
        <v>3000</v>
      </c>
      <c r="G72" s="13">
        <f>RANK(F72,$F$72:$F$75)</f>
        <v>1</v>
      </c>
    </row>
    <row r="73" spans="1:7" x14ac:dyDescent="0.25">
      <c r="A73" s="7" t="s">
        <v>89</v>
      </c>
      <c r="B73" s="14">
        <f>SUMPRODUCT(('Fase de Grupos'!$C$57:$C$62=$A73)*ISNUMBER('Fase de Grupos'!$D$57:$D$62)*ISNUMBER('Fase de Grupos'!$E$57:$E$62)*('Fase de Grupos'!$D$57:$D$62&gt;'Fase de Grupos'!$E$57:$E$62))*3+SUMPRODUCT(('Fase de Grupos'!$F$57:$F$62=$A73)*ISNUMBER('Fase de Grupos'!$D$57:$D$62)*ISNUMBER('Fase de Grupos'!$E$57:$E$62)*('Fase de Grupos'!$E$57:$E$62&gt;'Fase de Grupos'!$D$57:$D$62))*3+SUMPRODUCT(('Fase de Grupos'!$C$57:$C$62=$A73)*ISNUMBER('Fase de Grupos'!$D$57:$D$62)*ISNUMBER('Fase de Grupos'!$E$57:$E$62)*('Fase de Grupos'!$D$57:$D$62='Fase de Grupos'!$E$57:$E$62))+SUMPRODUCT(('Fase de Grupos'!$F$57:$F$62=$A73)*ISNUMBER('Fase de Grupos'!$D$57:$D$62)*ISNUMBER('Fase de Grupos'!$E$57:$E$62)*('Fase de Grupos'!$E$57:$E$62='Fase de Grupos'!$D$57:$D$62))</f>
        <v>0</v>
      </c>
      <c r="C73" s="14">
        <f>SUMPRODUCT(('Fase de Grupos'!$C$57:$C$62=$A73)*ISNUMBER('Fase de Grupos'!$D$57:$D$62)*ISNUMBER('Fase de Grupos'!$E$57:$E$62)*'Fase de Grupos'!$D$57:$D$62)+SUMPRODUCT(('Fase de Grupos'!$F$57:$F$62=$A73)*ISNUMBER('Fase de Grupos'!$D$57:$D$62)*ISNUMBER('Fase de Grupos'!$E$57:$E$62)*'Fase de Grupos'!$E$57:$E$62)</f>
        <v>0</v>
      </c>
      <c r="D73" s="14">
        <f>SUMPRODUCT(('Fase de Grupos'!$C$57:$C$62=$A73)*ISNUMBER('Fase de Grupos'!$D$57:$D$62)*ISNUMBER('Fase de Grupos'!$E$57:$E$62)*'Fase de Grupos'!$E$57:$E$62)+SUMPRODUCT(('Fase de Grupos'!$F$57:$F$62=$A73)*ISNUMBER('Fase de Grupos'!$D$57:$D$62)*ISNUMBER('Fase de Grupos'!$E$57:$E$62)*'Fase de Grupos'!$D$57:$D$62)</f>
        <v>0</v>
      </c>
      <c r="E73" s="14">
        <f>C73-D73</f>
        <v>0</v>
      </c>
      <c r="F73" s="14">
        <f>B73*10000+(E73+30)*100+C73-1*0.001</f>
        <v>2999.9989999999998</v>
      </c>
      <c r="G73" s="14">
        <f>RANK(F73,$F$72:$F$75)</f>
        <v>2</v>
      </c>
    </row>
    <row r="74" spans="1:7" x14ac:dyDescent="0.25">
      <c r="A74" s="4" t="s">
        <v>90</v>
      </c>
      <c r="B74" s="13">
        <f>SUMPRODUCT(('Fase de Grupos'!$C$57:$C$62=$A74)*ISNUMBER('Fase de Grupos'!$D$57:$D$62)*ISNUMBER('Fase de Grupos'!$E$57:$E$62)*('Fase de Grupos'!$D$57:$D$62&gt;'Fase de Grupos'!$E$57:$E$62))*3+SUMPRODUCT(('Fase de Grupos'!$F$57:$F$62=$A74)*ISNUMBER('Fase de Grupos'!$D$57:$D$62)*ISNUMBER('Fase de Grupos'!$E$57:$E$62)*('Fase de Grupos'!$E$57:$E$62&gt;'Fase de Grupos'!$D$57:$D$62))*3+SUMPRODUCT(('Fase de Grupos'!$C$57:$C$62=$A74)*ISNUMBER('Fase de Grupos'!$D$57:$D$62)*ISNUMBER('Fase de Grupos'!$E$57:$E$62)*('Fase de Grupos'!$D$57:$D$62='Fase de Grupos'!$E$57:$E$62))+SUMPRODUCT(('Fase de Grupos'!$F$57:$F$62=$A74)*ISNUMBER('Fase de Grupos'!$D$57:$D$62)*ISNUMBER('Fase de Grupos'!$E$57:$E$62)*('Fase de Grupos'!$E$57:$E$62='Fase de Grupos'!$D$57:$D$62))</f>
        <v>0</v>
      </c>
      <c r="C74" s="13">
        <f>SUMPRODUCT(('Fase de Grupos'!$C$57:$C$62=$A74)*ISNUMBER('Fase de Grupos'!$D$57:$D$62)*ISNUMBER('Fase de Grupos'!$E$57:$E$62)*'Fase de Grupos'!$D$57:$D$62)+SUMPRODUCT(('Fase de Grupos'!$F$57:$F$62=$A74)*ISNUMBER('Fase de Grupos'!$D$57:$D$62)*ISNUMBER('Fase de Grupos'!$E$57:$E$62)*'Fase de Grupos'!$E$57:$E$62)</f>
        <v>0</v>
      </c>
      <c r="D74" s="13">
        <f>SUMPRODUCT(('Fase de Grupos'!$C$57:$C$62=$A74)*ISNUMBER('Fase de Grupos'!$D$57:$D$62)*ISNUMBER('Fase de Grupos'!$E$57:$E$62)*'Fase de Grupos'!$E$57:$E$62)+SUMPRODUCT(('Fase de Grupos'!$F$57:$F$62=$A74)*ISNUMBER('Fase de Grupos'!$D$57:$D$62)*ISNUMBER('Fase de Grupos'!$E$57:$E$62)*'Fase de Grupos'!$D$57:$D$62)</f>
        <v>0</v>
      </c>
      <c r="E74" s="13">
        <f>C74-D74</f>
        <v>0</v>
      </c>
      <c r="F74" s="13">
        <f>B74*10000+(E74+30)*100+C74-2*0.001</f>
        <v>2999.998</v>
      </c>
      <c r="G74" s="13">
        <f>RANK(F74,$F$72:$F$75)</f>
        <v>3</v>
      </c>
    </row>
    <row r="75" spans="1:7" x14ac:dyDescent="0.25">
      <c r="A75" s="7" t="s">
        <v>91</v>
      </c>
      <c r="B75" s="14">
        <f>SUMPRODUCT(('Fase de Grupos'!$C$57:$C$62=$A75)*ISNUMBER('Fase de Grupos'!$D$57:$D$62)*ISNUMBER('Fase de Grupos'!$E$57:$E$62)*('Fase de Grupos'!$D$57:$D$62&gt;'Fase de Grupos'!$E$57:$E$62))*3+SUMPRODUCT(('Fase de Grupos'!$F$57:$F$62=$A75)*ISNUMBER('Fase de Grupos'!$D$57:$D$62)*ISNUMBER('Fase de Grupos'!$E$57:$E$62)*('Fase de Grupos'!$E$57:$E$62&gt;'Fase de Grupos'!$D$57:$D$62))*3+SUMPRODUCT(('Fase de Grupos'!$C$57:$C$62=$A75)*ISNUMBER('Fase de Grupos'!$D$57:$D$62)*ISNUMBER('Fase de Grupos'!$E$57:$E$62)*('Fase de Grupos'!$D$57:$D$62='Fase de Grupos'!$E$57:$E$62))+SUMPRODUCT(('Fase de Grupos'!$F$57:$F$62=$A75)*ISNUMBER('Fase de Grupos'!$D$57:$D$62)*ISNUMBER('Fase de Grupos'!$E$57:$E$62)*('Fase de Grupos'!$E$57:$E$62='Fase de Grupos'!$D$57:$D$62))</f>
        <v>0</v>
      </c>
      <c r="C75" s="14">
        <f>SUMPRODUCT(('Fase de Grupos'!$C$57:$C$62=$A75)*ISNUMBER('Fase de Grupos'!$D$57:$D$62)*ISNUMBER('Fase de Grupos'!$E$57:$E$62)*'Fase de Grupos'!$D$57:$D$62)+SUMPRODUCT(('Fase de Grupos'!$F$57:$F$62=$A75)*ISNUMBER('Fase de Grupos'!$D$57:$D$62)*ISNUMBER('Fase de Grupos'!$E$57:$E$62)*'Fase de Grupos'!$E$57:$E$62)</f>
        <v>0</v>
      </c>
      <c r="D75" s="14">
        <f>SUMPRODUCT(('Fase de Grupos'!$C$57:$C$62=$A75)*ISNUMBER('Fase de Grupos'!$D$57:$D$62)*ISNUMBER('Fase de Grupos'!$E$57:$E$62)*'Fase de Grupos'!$E$57:$E$62)+SUMPRODUCT(('Fase de Grupos'!$F$57:$F$62=$A75)*ISNUMBER('Fase de Grupos'!$D$57:$D$62)*ISNUMBER('Fase de Grupos'!$E$57:$E$62)*'Fase de Grupos'!$D$57:$D$62)</f>
        <v>0</v>
      </c>
      <c r="E75" s="14">
        <f>C75-D75</f>
        <v>0</v>
      </c>
      <c r="F75" s="14">
        <f>B75*10000+(E75+30)*100+C75-3*0.001</f>
        <v>2999.9969999999998</v>
      </c>
      <c r="G75" s="14">
        <f>RANK(F75,$F$72:$F$75)</f>
        <v>4</v>
      </c>
    </row>
    <row r="77" spans="1:7" x14ac:dyDescent="0.25">
      <c r="A77" s="2" t="s">
        <v>122</v>
      </c>
      <c r="B77" s="12" t="s">
        <v>124</v>
      </c>
      <c r="C77" s="12" t="s">
        <v>125</v>
      </c>
      <c r="D77" s="12" t="s">
        <v>126</v>
      </c>
      <c r="E77" s="12" t="s">
        <v>127</v>
      </c>
      <c r="F77" s="12" t="s">
        <v>128</v>
      </c>
      <c r="G77" s="12" t="s">
        <v>129</v>
      </c>
    </row>
    <row r="78" spans="1:7" x14ac:dyDescent="0.25">
      <c r="A78" s="4" t="s">
        <v>93</v>
      </c>
      <c r="B78" s="13">
        <f>SUMPRODUCT(('Fase de Grupos'!$C$63:$C$68=$A78)*ISNUMBER('Fase de Grupos'!$D$63:$D$68)*ISNUMBER('Fase de Grupos'!$E$63:$E$68)*('Fase de Grupos'!$D$63:$D$68&gt;'Fase de Grupos'!$E$63:$E$68))*3+SUMPRODUCT(('Fase de Grupos'!$F$63:$F$68=$A78)*ISNUMBER('Fase de Grupos'!$D$63:$D$68)*ISNUMBER('Fase de Grupos'!$E$63:$E$68)*('Fase de Grupos'!$E$63:$E$68&gt;'Fase de Grupos'!$D$63:$D$68))*3+SUMPRODUCT(('Fase de Grupos'!$C$63:$C$68=$A78)*ISNUMBER('Fase de Grupos'!$D$63:$D$68)*ISNUMBER('Fase de Grupos'!$E$63:$E$68)*('Fase de Grupos'!$D$63:$D$68='Fase de Grupos'!$E$63:$E$68))+SUMPRODUCT(('Fase de Grupos'!$F$63:$F$68=$A78)*ISNUMBER('Fase de Grupos'!$D$63:$D$68)*ISNUMBER('Fase de Grupos'!$E$63:$E$68)*('Fase de Grupos'!$E$63:$E$68='Fase de Grupos'!$D$63:$D$68))</f>
        <v>0</v>
      </c>
      <c r="C78" s="13">
        <f>SUMPRODUCT(('Fase de Grupos'!$C$63:$C$68=$A78)*ISNUMBER('Fase de Grupos'!$D$63:$D$68)*ISNUMBER('Fase de Grupos'!$E$63:$E$68)*'Fase de Grupos'!$D$63:$D$68)+SUMPRODUCT(('Fase de Grupos'!$F$63:$F$68=$A78)*ISNUMBER('Fase de Grupos'!$D$63:$D$68)*ISNUMBER('Fase de Grupos'!$E$63:$E$68)*'Fase de Grupos'!$E$63:$E$68)</f>
        <v>0</v>
      </c>
      <c r="D78" s="13">
        <f>SUMPRODUCT(('Fase de Grupos'!$C$63:$C$68=$A78)*ISNUMBER('Fase de Grupos'!$D$63:$D$68)*ISNUMBER('Fase de Grupos'!$E$63:$E$68)*'Fase de Grupos'!$E$63:$E$68)+SUMPRODUCT(('Fase de Grupos'!$F$63:$F$68=$A78)*ISNUMBER('Fase de Grupos'!$D$63:$D$68)*ISNUMBER('Fase de Grupos'!$E$63:$E$68)*'Fase de Grupos'!$D$63:$D$68)</f>
        <v>0</v>
      </c>
      <c r="E78" s="13">
        <f>C78-D78</f>
        <v>0</v>
      </c>
      <c r="F78" s="13">
        <f>B78*10000+(E78+30)*100+C78-0*0.001</f>
        <v>3000</v>
      </c>
      <c r="G78" s="13">
        <f>RANK(F78,$F$78:$F$81)</f>
        <v>1</v>
      </c>
    </row>
    <row r="79" spans="1:7" ht="25.5" x14ac:dyDescent="0.25">
      <c r="A79" s="7" t="s">
        <v>94</v>
      </c>
      <c r="B79" s="14">
        <f>SUMPRODUCT(('Fase de Grupos'!$C$63:$C$68=$A79)*ISNUMBER('Fase de Grupos'!$D$63:$D$68)*ISNUMBER('Fase de Grupos'!$E$63:$E$68)*('Fase de Grupos'!$D$63:$D$68&gt;'Fase de Grupos'!$E$63:$E$68))*3+SUMPRODUCT(('Fase de Grupos'!$F$63:$F$68=$A79)*ISNUMBER('Fase de Grupos'!$D$63:$D$68)*ISNUMBER('Fase de Grupos'!$E$63:$E$68)*('Fase de Grupos'!$E$63:$E$68&gt;'Fase de Grupos'!$D$63:$D$68))*3+SUMPRODUCT(('Fase de Grupos'!$C$63:$C$68=$A79)*ISNUMBER('Fase de Grupos'!$D$63:$D$68)*ISNUMBER('Fase de Grupos'!$E$63:$E$68)*('Fase de Grupos'!$D$63:$D$68='Fase de Grupos'!$E$63:$E$68))+SUMPRODUCT(('Fase de Grupos'!$F$63:$F$68=$A79)*ISNUMBER('Fase de Grupos'!$D$63:$D$68)*ISNUMBER('Fase de Grupos'!$E$63:$E$68)*('Fase de Grupos'!$E$63:$E$68='Fase de Grupos'!$D$63:$D$68))</f>
        <v>0</v>
      </c>
      <c r="C79" s="14">
        <f>SUMPRODUCT(('Fase de Grupos'!$C$63:$C$68=$A79)*ISNUMBER('Fase de Grupos'!$D$63:$D$68)*ISNUMBER('Fase de Grupos'!$E$63:$E$68)*'Fase de Grupos'!$D$63:$D$68)+SUMPRODUCT(('Fase de Grupos'!$F$63:$F$68=$A79)*ISNUMBER('Fase de Grupos'!$D$63:$D$68)*ISNUMBER('Fase de Grupos'!$E$63:$E$68)*'Fase de Grupos'!$E$63:$E$68)</f>
        <v>0</v>
      </c>
      <c r="D79" s="14">
        <f>SUMPRODUCT(('Fase de Grupos'!$C$63:$C$68=$A79)*ISNUMBER('Fase de Grupos'!$D$63:$D$68)*ISNUMBER('Fase de Grupos'!$E$63:$E$68)*'Fase de Grupos'!$E$63:$E$68)+SUMPRODUCT(('Fase de Grupos'!$F$63:$F$68=$A79)*ISNUMBER('Fase de Grupos'!$D$63:$D$68)*ISNUMBER('Fase de Grupos'!$E$63:$E$68)*'Fase de Grupos'!$D$63:$D$68)</f>
        <v>0</v>
      </c>
      <c r="E79" s="14">
        <f>C79-D79</f>
        <v>0</v>
      </c>
      <c r="F79" s="14">
        <f>B79*10000+(E79+30)*100+C79-1*0.001</f>
        <v>2999.9989999999998</v>
      </c>
      <c r="G79" s="14">
        <f>RANK(F79,$F$78:$F$81)</f>
        <v>2</v>
      </c>
    </row>
    <row r="80" spans="1:7" x14ac:dyDescent="0.25">
      <c r="A80" s="4" t="s">
        <v>95</v>
      </c>
      <c r="B80" s="13">
        <f>SUMPRODUCT(('Fase de Grupos'!$C$63:$C$68=$A80)*ISNUMBER('Fase de Grupos'!$D$63:$D$68)*ISNUMBER('Fase de Grupos'!$E$63:$E$68)*('Fase de Grupos'!$D$63:$D$68&gt;'Fase de Grupos'!$E$63:$E$68))*3+SUMPRODUCT(('Fase de Grupos'!$F$63:$F$68=$A80)*ISNUMBER('Fase de Grupos'!$D$63:$D$68)*ISNUMBER('Fase de Grupos'!$E$63:$E$68)*('Fase de Grupos'!$E$63:$E$68&gt;'Fase de Grupos'!$D$63:$D$68))*3+SUMPRODUCT(('Fase de Grupos'!$C$63:$C$68=$A80)*ISNUMBER('Fase de Grupos'!$D$63:$D$68)*ISNUMBER('Fase de Grupos'!$E$63:$E$68)*('Fase de Grupos'!$D$63:$D$68='Fase de Grupos'!$E$63:$E$68))+SUMPRODUCT(('Fase de Grupos'!$F$63:$F$68=$A80)*ISNUMBER('Fase de Grupos'!$D$63:$D$68)*ISNUMBER('Fase de Grupos'!$E$63:$E$68)*('Fase de Grupos'!$E$63:$E$68='Fase de Grupos'!$D$63:$D$68))</f>
        <v>0</v>
      </c>
      <c r="C80" s="13">
        <f>SUMPRODUCT(('Fase de Grupos'!$C$63:$C$68=$A80)*ISNUMBER('Fase de Grupos'!$D$63:$D$68)*ISNUMBER('Fase de Grupos'!$E$63:$E$68)*'Fase de Grupos'!$D$63:$D$68)+SUMPRODUCT(('Fase de Grupos'!$F$63:$F$68=$A80)*ISNUMBER('Fase de Grupos'!$D$63:$D$68)*ISNUMBER('Fase de Grupos'!$E$63:$E$68)*'Fase de Grupos'!$E$63:$E$68)</f>
        <v>0</v>
      </c>
      <c r="D80" s="13">
        <f>SUMPRODUCT(('Fase de Grupos'!$C$63:$C$68=$A80)*ISNUMBER('Fase de Grupos'!$D$63:$D$68)*ISNUMBER('Fase de Grupos'!$E$63:$E$68)*'Fase de Grupos'!$E$63:$E$68)+SUMPRODUCT(('Fase de Grupos'!$F$63:$F$68=$A80)*ISNUMBER('Fase de Grupos'!$D$63:$D$68)*ISNUMBER('Fase de Grupos'!$E$63:$E$68)*'Fase de Grupos'!$D$63:$D$68)</f>
        <v>0</v>
      </c>
      <c r="E80" s="13">
        <f>C80-D80</f>
        <v>0</v>
      </c>
      <c r="F80" s="13">
        <f>B80*10000+(E80+30)*100+C80-2*0.001</f>
        <v>2999.998</v>
      </c>
      <c r="G80" s="13">
        <f>RANK(F80,$F$78:$F$81)</f>
        <v>3</v>
      </c>
    </row>
    <row r="81" spans="1:7" x14ac:dyDescent="0.25">
      <c r="A81" s="7" t="s">
        <v>96</v>
      </c>
      <c r="B81" s="14">
        <f>SUMPRODUCT(('Fase de Grupos'!$C$63:$C$68=$A81)*ISNUMBER('Fase de Grupos'!$D$63:$D$68)*ISNUMBER('Fase de Grupos'!$E$63:$E$68)*('Fase de Grupos'!$D$63:$D$68&gt;'Fase de Grupos'!$E$63:$E$68))*3+SUMPRODUCT(('Fase de Grupos'!$F$63:$F$68=$A81)*ISNUMBER('Fase de Grupos'!$D$63:$D$68)*ISNUMBER('Fase de Grupos'!$E$63:$E$68)*('Fase de Grupos'!$E$63:$E$68&gt;'Fase de Grupos'!$D$63:$D$68))*3+SUMPRODUCT(('Fase de Grupos'!$C$63:$C$68=$A81)*ISNUMBER('Fase de Grupos'!$D$63:$D$68)*ISNUMBER('Fase de Grupos'!$E$63:$E$68)*('Fase de Grupos'!$D$63:$D$68='Fase de Grupos'!$E$63:$E$68))+SUMPRODUCT(('Fase de Grupos'!$F$63:$F$68=$A81)*ISNUMBER('Fase de Grupos'!$D$63:$D$68)*ISNUMBER('Fase de Grupos'!$E$63:$E$68)*('Fase de Grupos'!$E$63:$E$68='Fase de Grupos'!$D$63:$D$68))</f>
        <v>0</v>
      </c>
      <c r="C81" s="14">
        <f>SUMPRODUCT(('Fase de Grupos'!$C$63:$C$68=$A81)*ISNUMBER('Fase de Grupos'!$D$63:$D$68)*ISNUMBER('Fase de Grupos'!$E$63:$E$68)*'Fase de Grupos'!$D$63:$D$68)+SUMPRODUCT(('Fase de Grupos'!$F$63:$F$68=$A81)*ISNUMBER('Fase de Grupos'!$D$63:$D$68)*ISNUMBER('Fase de Grupos'!$E$63:$E$68)*'Fase de Grupos'!$E$63:$E$68)</f>
        <v>0</v>
      </c>
      <c r="D81" s="14">
        <f>SUMPRODUCT(('Fase de Grupos'!$C$63:$C$68=$A81)*ISNUMBER('Fase de Grupos'!$D$63:$D$68)*ISNUMBER('Fase de Grupos'!$E$63:$E$68)*'Fase de Grupos'!$E$63:$E$68)+SUMPRODUCT(('Fase de Grupos'!$F$63:$F$68=$A81)*ISNUMBER('Fase de Grupos'!$D$63:$D$68)*ISNUMBER('Fase de Grupos'!$E$63:$E$68)*'Fase de Grupos'!$D$63:$D$68)</f>
        <v>0</v>
      </c>
      <c r="E81" s="14">
        <f>C81-D81</f>
        <v>0</v>
      </c>
      <c r="F81" s="14">
        <f>B81*10000+(E81+30)*100+C81-3*0.001</f>
        <v>2999.9969999999998</v>
      </c>
      <c r="G81" s="14">
        <f>RANK(F81,$F$78:$F$81)</f>
        <v>4</v>
      </c>
    </row>
    <row r="83" spans="1:7" x14ac:dyDescent="0.25">
      <c r="A83" s="2" t="s">
        <v>123</v>
      </c>
      <c r="B83" s="12" t="s">
        <v>124</v>
      </c>
      <c r="C83" s="12" t="s">
        <v>125</v>
      </c>
      <c r="D83" s="12" t="s">
        <v>126</v>
      </c>
      <c r="E83" s="12" t="s">
        <v>127</v>
      </c>
      <c r="F83" s="12" t="s">
        <v>128</v>
      </c>
      <c r="G83" s="12" t="s">
        <v>129</v>
      </c>
    </row>
    <row r="84" spans="1:7" x14ac:dyDescent="0.25">
      <c r="A84" s="4" t="s">
        <v>98</v>
      </c>
      <c r="B84" s="13">
        <f>SUMPRODUCT(('Fase de Grupos'!$C$69:$C$74=$A84)*ISNUMBER('Fase de Grupos'!$D$69:$D$74)*ISNUMBER('Fase de Grupos'!$E$69:$E$74)*('Fase de Grupos'!$D$69:$D$74&gt;'Fase de Grupos'!$E$69:$E$74))*3+SUMPRODUCT(('Fase de Grupos'!$F$69:$F$74=$A84)*ISNUMBER('Fase de Grupos'!$D$69:$D$74)*ISNUMBER('Fase de Grupos'!$E$69:$E$74)*('Fase de Grupos'!$E$69:$E$74&gt;'Fase de Grupos'!$D$69:$D$74))*3+SUMPRODUCT(('Fase de Grupos'!$C$69:$C$74=$A84)*ISNUMBER('Fase de Grupos'!$D$69:$D$74)*ISNUMBER('Fase de Grupos'!$E$69:$E$74)*('Fase de Grupos'!$D$69:$D$74='Fase de Grupos'!$E$69:$E$74))+SUMPRODUCT(('Fase de Grupos'!$F$69:$F$74=$A84)*ISNUMBER('Fase de Grupos'!$D$69:$D$74)*ISNUMBER('Fase de Grupos'!$E$69:$E$74)*('Fase de Grupos'!$E$69:$E$74='Fase de Grupos'!$D$69:$D$74))</f>
        <v>0</v>
      </c>
      <c r="C84" s="13">
        <f>SUMPRODUCT(('Fase de Grupos'!$C$69:$C$74=$A84)*ISNUMBER('Fase de Grupos'!$D$69:$D$74)*ISNUMBER('Fase de Grupos'!$E$69:$E$74)*'Fase de Grupos'!$D$69:$D$74)+SUMPRODUCT(('Fase de Grupos'!$F$69:$F$74=$A84)*ISNUMBER('Fase de Grupos'!$D$69:$D$74)*ISNUMBER('Fase de Grupos'!$E$69:$E$74)*'Fase de Grupos'!$E$69:$E$74)</f>
        <v>0</v>
      </c>
      <c r="D84" s="13">
        <f>SUMPRODUCT(('Fase de Grupos'!$C$69:$C$74=$A84)*ISNUMBER('Fase de Grupos'!$D$69:$D$74)*ISNUMBER('Fase de Grupos'!$E$69:$E$74)*'Fase de Grupos'!$E$69:$E$74)+SUMPRODUCT(('Fase de Grupos'!$F$69:$F$74=$A84)*ISNUMBER('Fase de Grupos'!$D$69:$D$74)*ISNUMBER('Fase de Grupos'!$E$69:$E$74)*'Fase de Grupos'!$D$69:$D$74)</f>
        <v>0</v>
      </c>
      <c r="E84" s="13">
        <f>C84-D84</f>
        <v>0</v>
      </c>
      <c r="F84" s="13">
        <f>B84*10000+(E84+30)*100+C84-0*0.001</f>
        <v>3000</v>
      </c>
      <c r="G84" s="13">
        <f>RANK(F84,$F$84:$F$87)</f>
        <v>1</v>
      </c>
    </row>
    <row r="85" spans="1:7" x14ac:dyDescent="0.25">
      <c r="A85" s="7" t="s">
        <v>99</v>
      </c>
      <c r="B85" s="14">
        <f>SUMPRODUCT(('Fase de Grupos'!$C$69:$C$74=$A85)*ISNUMBER('Fase de Grupos'!$D$69:$D$74)*ISNUMBER('Fase de Grupos'!$E$69:$E$74)*('Fase de Grupos'!$D$69:$D$74&gt;'Fase de Grupos'!$E$69:$E$74))*3+SUMPRODUCT(('Fase de Grupos'!$F$69:$F$74=$A85)*ISNUMBER('Fase de Grupos'!$D$69:$D$74)*ISNUMBER('Fase de Grupos'!$E$69:$E$74)*('Fase de Grupos'!$E$69:$E$74&gt;'Fase de Grupos'!$D$69:$D$74))*3+SUMPRODUCT(('Fase de Grupos'!$C$69:$C$74=$A85)*ISNUMBER('Fase de Grupos'!$D$69:$D$74)*ISNUMBER('Fase de Grupos'!$E$69:$E$74)*('Fase de Grupos'!$D$69:$D$74='Fase de Grupos'!$E$69:$E$74))+SUMPRODUCT(('Fase de Grupos'!$F$69:$F$74=$A85)*ISNUMBER('Fase de Grupos'!$D$69:$D$74)*ISNUMBER('Fase de Grupos'!$E$69:$E$74)*('Fase de Grupos'!$E$69:$E$74='Fase de Grupos'!$D$69:$D$74))</f>
        <v>0</v>
      </c>
      <c r="C85" s="14">
        <f>SUMPRODUCT(('Fase de Grupos'!$C$69:$C$74=$A85)*ISNUMBER('Fase de Grupos'!$D$69:$D$74)*ISNUMBER('Fase de Grupos'!$E$69:$E$74)*'Fase de Grupos'!$D$69:$D$74)+SUMPRODUCT(('Fase de Grupos'!$F$69:$F$74=$A85)*ISNUMBER('Fase de Grupos'!$D$69:$D$74)*ISNUMBER('Fase de Grupos'!$E$69:$E$74)*'Fase de Grupos'!$E$69:$E$74)</f>
        <v>0</v>
      </c>
      <c r="D85" s="14">
        <f>SUMPRODUCT(('Fase de Grupos'!$C$69:$C$74=$A85)*ISNUMBER('Fase de Grupos'!$D$69:$D$74)*ISNUMBER('Fase de Grupos'!$E$69:$E$74)*'Fase de Grupos'!$E$69:$E$74)+SUMPRODUCT(('Fase de Grupos'!$F$69:$F$74=$A85)*ISNUMBER('Fase de Grupos'!$D$69:$D$74)*ISNUMBER('Fase de Grupos'!$E$69:$E$74)*'Fase de Grupos'!$D$69:$D$74)</f>
        <v>0</v>
      </c>
      <c r="E85" s="14">
        <f>C85-D85</f>
        <v>0</v>
      </c>
      <c r="F85" s="14">
        <f>B85*10000+(E85+30)*100+C85-1*0.001</f>
        <v>2999.9989999999998</v>
      </c>
      <c r="G85" s="14">
        <f>RANK(F85,$F$84:$F$87)</f>
        <v>2</v>
      </c>
    </row>
    <row r="86" spans="1:7" x14ac:dyDescent="0.25">
      <c r="A86" s="4" t="s">
        <v>100</v>
      </c>
      <c r="B86" s="13">
        <f>SUMPRODUCT(('Fase de Grupos'!$C$69:$C$74=$A86)*ISNUMBER('Fase de Grupos'!$D$69:$D$74)*ISNUMBER('Fase de Grupos'!$E$69:$E$74)*('Fase de Grupos'!$D$69:$D$74&gt;'Fase de Grupos'!$E$69:$E$74))*3+SUMPRODUCT(('Fase de Grupos'!$F$69:$F$74=$A86)*ISNUMBER('Fase de Grupos'!$D$69:$D$74)*ISNUMBER('Fase de Grupos'!$E$69:$E$74)*('Fase de Grupos'!$E$69:$E$74&gt;'Fase de Grupos'!$D$69:$D$74))*3+SUMPRODUCT(('Fase de Grupos'!$C$69:$C$74=$A86)*ISNUMBER('Fase de Grupos'!$D$69:$D$74)*ISNUMBER('Fase de Grupos'!$E$69:$E$74)*('Fase de Grupos'!$D$69:$D$74='Fase de Grupos'!$E$69:$E$74))+SUMPRODUCT(('Fase de Grupos'!$F$69:$F$74=$A86)*ISNUMBER('Fase de Grupos'!$D$69:$D$74)*ISNUMBER('Fase de Grupos'!$E$69:$E$74)*('Fase de Grupos'!$E$69:$E$74='Fase de Grupos'!$D$69:$D$74))</f>
        <v>0</v>
      </c>
      <c r="C86" s="13">
        <f>SUMPRODUCT(('Fase de Grupos'!$C$69:$C$74=$A86)*ISNUMBER('Fase de Grupos'!$D$69:$D$74)*ISNUMBER('Fase de Grupos'!$E$69:$E$74)*'Fase de Grupos'!$D$69:$D$74)+SUMPRODUCT(('Fase de Grupos'!$F$69:$F$74=$A86)*ISNUMBER('Fase de Grupos'!$D$69:$D$74)*ISNUMBER('Fase de Grupos'!$E$69:$E$74)*'Fase de Grupos'!$E$69:$E$74)</f>
        <v>0</v>
      </c>
      <c r="D86" s="13">
        <f>SUMPRODUCT(('Fase de Grupos'!$C$69:$C$74=$A86)*ISNUMBER('Fase de Grupos'!$D$69:$D$74)*ISNUMBER('Fase de Grupos'!$E$69:$E$74)*'Fase de Grupos'!$E$69:$E$74)+SUMPRODUCT(('Fase de Grupos'!$F$69:$F$74=$A86)*ISNUMBER('Fase de Grupos'!$D$69:$D$74)*ISNUMBER('Fase de Grupos'!$E$69:$E$74)*'Fase de Grupos'!$D$69:$D$74)</f>
        <v>0</v>
      </c>
      <c r="E86" s="13">
        <f>C86-D86</f>
        <v>0</v>
      </c>
      <c r="F86" s="13">
        <f>B86*10000+(E86+30)*100+C86-2*0.001</f>
        <v>2999.998</v>
      </c>
      <c r="G86" s="13">
        <f>RANK(F86,$F$84:$F$87)</f>
        <v>3</v>
      </c>
    </row>
    <row r="87" spans="1:7" x14ac:dyDescent="0.25">
      <c r="A87" s="7" t="s">
        <v>101</v>
      </c>
      <c r="B87" s="14">
        <f>SUMPRODUCT(('Fase de Grupos'!$C$69:$C$74=$A87)*ISNUMBER('Fase de Grupos'!$D$69:$D$74)*ISNUMBER('Fase de Grupos'!$E$69:$E$74)*('Fase de Grupos'!$D$69:$D$74&gt;'Fase de Grupos'!$E$69:$E$74))*3+SUMPRODUCT(('Fase de Grupos'!$F$69:$F$74=$A87)*ISNUMBER('Fase de Grupos'!$D$69:$D$74)*ISNUMBER('Fase de Grupos'!$E$69:$E$74)*('Fase de Grupos'!$E$69:$E$74&gt;'Fase de Grupos'!$D$69:$D$74))*3+SUMPRODUCT(('Fase de Grupos'!$C$69:$C$74=$A87)*ISNUMBER('Fase de Grupos'!$D$69:$D$74)*ISNUMBER('Fase de Grupos'!$E$69:$E$74)*('Fase de Grupos'!$D$69:$D$74='Fase de Grupos'!$E$69:$E$74))+SUMPRODUCT(('Fase de Grupos'!$F$69:$F$74=$A87)*ISNUMBER('Fase de Grupos'!$D$69:$D$74)*ISNUMBER('Fase de Grupos'!$E$69:$E$74)*('Fase de Grupos'!$E$69:$E$74='Fase de Grupos'!$D$69:$D$74))</f>
        <v>0</v>
      </c>
      <c r="C87" s="14">
        <f>SUMPRODUCT(('Fase de Grupos'!$C$69:$C$74=$A87)*ISNUMBER('Fase de Grupos'!$D$69:$D$74)*ISNUMBER('Fase de Grupos'!$E$69:$E$74)*'Fase de Grupos'!$D$69:$D$74)+SUMPRODUCT(('Fase de Grupos'!$F$69:$F$74=$A87)*ISNUMBER('Fase de Grupos'!$D$69:$D$74)*ISNUMBER('Fase de Grupos'!$E$69:$E$74)*'Fase de Grupos'!$E$69:$E$74)</f>
        <v>0</v>
      </c>
      <c r="D87" s="14">
        <f>SUMPRODUCT(('Fase de Grupos'!$C$69:$C$74=$A87)*ISNUMBER('Fase de Grupos'!$D$69:$D$74)*ISNUMBER('Fase de Grupos'!$E$69:$E$74)*'Fase de Grupos'!$E$69:$E$74)+SUMPRODUCT(('Fase de Grupos'!$F$69:$F$74=$A87)*ISNUMBER('Fase de Grupos'!$D$69:$D$74)*ISNUMBER('Fase de Grupos'!$E$69:$E$74)*'Fase de Grupos'!$D$69:$D$74)</f>
        <v>0</v>
      </c>
      <c r="E87" s="14">
        <f>C87-D87</f>
        <v>0</v>
      </c>
      <c r="F87" s="14">
        <f>B87*10000+(E87+30)*100+C87-3*0.001</f>
        <v>2999.9969999999998</v>
      </c>
      <c r="G87" s="14">
        <f>RANK(F87,$F$84:$F$87)</f>
        <v>4</v>
      </c>
    </row>
  </sheetData>
  <mergeCells count="1">
    <mergeCell ref="A1:J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107"/>
  </sheetPr>
  <dimension ref="A1:I35"/>
  <sheetViews>
    <sheetView showGridLines="0" workbookViewId="0">
      <pane ySplit="3" topLeftCell="A4" activePane="bottomLeft" state="frozen"/>
      <selection pane="bottomLeft"/>
    </sheetView>
  </sheetViews>
  <sheetFormatPr baseColWidth="10" defaultColWidth="9.140625" defaultRowHeight="15" x14ac:dyDescent="0.25"/>
  <cols>
    <col min="1" max="1" width="9" customWidth="1"/>
    <col min="2" max="2" width="13" customWidth="1"/>
    <col min="3" max="4" width="24" customWidth="1"/>
    <col min="5" max="6" width="9" customWidth="1"/>
    <col min="7" max="7" width="10" customWidth="1"/>
    <col min="8" max="9" width="24" customWidth="1"/>
  </cols>
  <sheetData>
    <row r="1" spans="1:9" ht="26.1" customHeight="1" x14ac:dyDescent="0.25">
      <c r="A1" s="32" t="s">
        <v>130</v>
      </c>
      <c r="B1" s="27"/>
      <c r="C1" s="27"/>
      <c r="D1" s="27"/>
      <c r="E1" s="27"/>
      <c r="F1" s="27"/>
      <c r="G1" s="27"/>
      <c r="H1" s="27"/>
      <c r="I1" s="27"/>
    </row>
    <row r="2" spans="1:9" ht="44.1" customHeight="1" x14ac:dyDescent="0.25">
      <c r="A2" s="35" t="s">
        <v>131</v>
      </c>
      <c r="B2" s="27"/>
      <c r="C2" s="27"/>
      <c r="D2" s="27"/>
      <c r="E2" s="27"/>
      <c r="F2" s="27"/>
      <c r="G2" s="27"/>
      <c r="H2" s="27"/>
      <c r="I2" s="27"/>
    </row>
    <row r="3" spans="1:9" ht="32.1" customHeight="1" x14ac:dyDescent="0.25">
      <c r="A3" s="15" t="s">
        <v>132</v>
      </c>
      <c r="B3" s="15" t="s">
        <v>133</v>
      </c>
      <c r="C3" s="15" t="s">
        <v>134</v>
      </c>
      <c r="D3" s="15" t="s">
        <v>135</v>
      </c>
      <c r="E3" s="15" t="s">
        <v>136</v>
      </c>
      <c r="F3" s="15" t="s">
        <v>137</v>
      </c>
      <c r="G3" s="15" t="s">
        <v>138</v>
      </c>
      <c r="H3" s="15" t="s">
        <v>139</v>
      </c>
      <c r="I3" s="15" t="s">
        <v>140</v>
      </c>
    </row>
    <row r="4" spans="1:9" x14ac:dyDescent="0.25">
      <c r="A4" s="16">
        <v>73</v>
      </c>
      <c r="B4" s="16" t="s">
        <v>141</v>
      </c>
      <c r="C4" s="17" t="str">
        <f>'Tabla Grupos'!C3</f>
        <v>Corea del Sur</v>
      </c>
      <c r="D4" s="17" t="str">
        <f>'Tabla Grupos'!C4</f>
        <v>Qatar</v>
      </c>
      <c r="E4" s="5"/>
      <c r="F4" s="5"/>
      <c r="G4" s="5"/>
      <c r="H4" s="18" t="str">
        <f t="shared" ref="H4:H35" si="0">IF(OR(C4="",D4=""),"",IF(OR(E4="",F4=""),"",IF(E4&gt;F4,C4,IF(F4&gt;E4,D4,IF(G4=1,C4,IF(G4=2,D4,"¿Penales?"))))))</f>
        <v/>
      </c>
      <c r="I4" s="13" t="str">
        <f t="shared" ref="I4:I35" si="1">IF(OR(C4="",D4=""),"",IF(OR(E4="",F4=""),"",IF(E4&gt;F4,D4,IF(F4&gt;E4,C4,IF(G4=1,D4,IF(G4=2,C4,"¿Penales?"))))))</f>
        <v/>
      </c>
    </row>
    <row r="5" spans="1:9" x14ac:dyDescent="0.25">
      <c r="A5" s="19">
        <v>74</v>
      </c>
      <c r="B5" s="19" t="s">
        <v>141</v>
      </c>
      <c r="C5" s="20" t="str">
        <f>'Tabla Grupos'!B7</f>
        <v>Alemania</v>
      </c>
      <c r="D5" s="21"/>
      <c r="E5" s="5"/>
      <c r="F5" s="5"/>
      <c r="G5" s="5"/>
      <c r="H5" s="18" t="str">
        <f t="shared" si="0"/>
        <v/>
      </c>
      <c r="I5" s="14" t="str">
        <f t="shared" si="1"/>
        <v/>
      </c>
    </row>
    <row r="6" spans="1:9" x14ac:dyDescent="0.25">
      <c r="A6" s="16">
        <v>75</v>
      </c>
      <c r="B6" s="16" t="s">
        <v>141</v>
      </c>
      <c r="C6" s="17" t="str">
        <f>'Tabla Grupos'!B8</f>
        <v>Países Bajos</v>
      </c>
      <c r="D6" s="17" t="str">
        <f>'Tabla Grupos'!C5</f>
        <v>Marruecos</v>
      </c>
      <c r="E6" s="5"/>
      <c r="F6" s="5"/>
      <c r="G6" s="5"/>
      <c r="H6" s="18" t="str">
        <f t="shared" si="0"/>
        <v/>
      </c>
      <c r="I6" s="13" t="str">
        <f t="shared" si="1"/>
        <v/>
      </c>
    </row>
    <row r="7" spans="1:9" x14ac:dyDescent="0.25">
      <c r="A7" s="19">
        <v>76</v>
      </c>
      <c r="B7" s="19" t="s">
        <v>141</v>
      </c>
      <c r="C7" s="20" t="str">
        <f>'Tabla Grupos'!B5</f>
        <v>Brasil</v>
      </c>
      <c r="D7" s="20" t="str">
        <f>'Tabla Grupos'!C8</f>
        <v>Japón</v>
      </c>
      <c r="E7" s="5"/>
      <c r="F7" s="5"/>
      <c r="G7" s="5"/>
      <c r="H7" s="18" t="str">
        <f t="shared" si="0"/>
        <v/>
      </c>
      <c r="I7" s="14" t="str">
        <f t="shared" si="1"/>
        <v/>
      </c>
    </row>
    <row r="8" spans="1:9" x14ac:dyDescent="0.25">
      <c r="A8" s="16">
        <v>77</v>
      </c>
      <c r="B8" s="16" t="s">
        <v>141</v>
      </c>
      <c r="C8" s="17" t="str">
        <f>'Tabla Grupos'!B11</f>
        <v>Francia</v>
      </c>
      <c r="D8" s="21"/>
      <c r="E8" s="5"/>
      <c r="F8" s="5"/>
      <c r="G8" s="5"/>
      <c r="H8" s="18" t="str">
        <f t="shared" si="0"/>
        <v/>
      </c>
      <c r="I8" s="13" t="str">
        <f t="shared" si="1"/>
        <v/>
      </c>
    </row>
    <row r="9" spans="1:9" x14ac:dyDescent="0.25">
      <c r="A9" s="19">
        <v>78</v>
      </c>
      <c r="B9" s="19" t="s">
        <v>141</v>
      </c>
      <c r="C9" s="20" t="str">
        <f>'Tabla Grupos'!C7</f>
        <v>Curazao</v>
      </c>
      <c r="D9" s="20" t="str">
        <f>'Tabla Grupos'!C11</f>
        <v>Senegal</v>
      </c>
      <c r="E9" s="5"/>
      <c r="F9" s="5"/>
      <c r="G9" s="5"/>
      <c r="H9" s="18" t="str">
        <f t="shared" si="0"/>
        <v/>
      </c>
      <c r="I9" s="14" t="str">
        <f t="shared" si="1"/>
        <v/>
      </c>
    </row>
    <row r="10" spans="1:9" x14ac:dyDescent="0.25">
      <c r="A10" s="16">
        <v>79</v>
      </c>
      <c r="B10" s="16" t="s">
        <v>141</v>
      </c>
      <c r="C10" s="17" t="str">
        <f>'Tabla Grupos'!B3</f>
        <v>México</v>
      </c>
      <c r="D10" s="21"/>
      <c r="E10" s="5"/>
      <c r="F10" s="5"/>
      <c r="G10" s="5"/>
      <c r="H10" s="18" t="str">
        <f t="shared" si="0"/>
        <v/>
      </c>
      <c r="I10" s="13" t="str">
        <f t="shared" si="1"/>
        <v/>
      </c>
    </row>
    <row r="11" spans="1:9" x14ac:dyDescent="0.25">
      <c r="A11" s="19">
        <v>80</v>
      </c>
      <c r="B11" s="19" t="s">
        <v>141</v>
      </c>
      <c r="C11" s="20" t="str">
        <f>'Tabla Grupos'!B14</f>
        <v>Inglaterra</v>
      </c>
      <c r="D11" s="21"/>
      <c r="E11" s="5"/>
      <c r="F11" s="5"/>
      <c r="G11" s="5"/>
      <c r="H11" s="18" t="str">
        <f t="shared" si="0"/>
        <v/>
      </c>
      <c r="I11" s="14" t="str">
        <f t="shared" si="1"/>
        <v/>
      </c>
    </row>
    <row r="12" spans="1:9" x14ac:dyDescent="0.25">
      <c r="A12" s="16">
        <v>81</v>
      </c>
      <c r="B12" s="16" t="s">
        <v>141</v>
      </c>
      <c r="C12" s="17" t="str">
        <f>'Tabla Grupos'!B6</f>
        <v>Estados Unidos</v>
      </c>
      <c r="D12" s="21"/>
      <c r="E12" s="5"/>
      <c r="F12" s="5"/>
      <c r="G12" s="5"/>
      <c r="H12" s="18" t="str">
        <f t="shared" si="0"/>
        <v/>
      </c>
      <c r="I12" s="13" t="str">
        <f t="shared" si="1"/>
        <v/>
      </c>
    </row>
    <row r="13" spans="1:9" x14ac:dyDescent="0.25">
      <c r="A13" s="19">
        <v>82</v>
      </c>
      <c r="B13" s="19" t="s">
        <v>141</v>
      </c>
      <c r="C13" s="20" t="str">
        <f>'Tabla Grupos'!B9</f>
        <v>Bélgica</v>
      </c>
      <c r="D13" s="21"/>
      <c r="E13" s="5"/>
      <c r="F13" s="5"/>
      <c r="G13" s="5"/>
      <c r="H13" s="18" t="str">
        <f t="shared" si="0"/>
        <v/>
      </c>
      <c r="I13" s="14" t="str">
        <f t="shared" si="1"/>
        <v/>
      </c>
    </row>
    <row r="14" spans="1:9" x14ac:dyDescent="0.25">
      <c r="A14" s="16">
        <v>83</v>
      </c>
      <c r="B14" s="16" t="s">
        <v>141</v>
      </c>
      <c r="C14" s="17" t="str">
        <f>'Tabla Grupos'!C13</f>
        <v>Rep. Dem. del Congo</v>
      </c>
      <c r="D14" s="17" t="str">
        <f>'Tabla Grupos'!C14</f>
        <v>Croacia</v>
      </c>
      <c r="E14" s="5"/>
      <c r="F14" s="5"/>
      <c r="G14" s="5"/>
      <c r="H14" s="18" t="str">
        <f t="shared" si="0"/>
        <v/>
      </c>
      <c r="I14" s="13" t="str">
        <f t="shared" si="1"/>
        <v/>
      </c>
    </row>
    <row r="15" spans="1:9" x14ac:dyDescent="0.25">
      <c r="A15" s="19">
        <v>84</v>
      </c>
      <c r="B15" s="19" t="s">
        <v>141</v>
      </c>
      <c r="C15" s="20" t="str">
        <f>'Tabla Grupos'!B10</f>
        <v>España</v>
      </c>
      <c r="D15" s="20" t="str">
        <f>'Tabla Grupos'!C12</f>
        <v>Argelia</v>
      </c>
      <c r="E15" s="5"/>
      <c r="F15" s="5"/>
      <c r="G15" s="5"/>
      <c r="H15" s="18" t="str">
        <f t="shared" si="0"/>
        <v/>
      </c>
      <c r="I15" s="14" t="str">
        <f t="shared" si="1"/>
        <v/>
      </c>
    </row>
    <row r="16" spans="1:9" x14ac:dyDescent="0.25">
      <c r="A16" s="16">
        <v>85</v>
      </c>
      <c r="B16" s="16" t="s">
        <v>141</v>
      </c>
      <c r="C16" s="17" t="str">
        <f>'Tabla Grupos'!B4</f>
        <v>Canadá</v>
      </c>
      <c r="D16" s="21"/>
      <c r="E16" s="5"/>
      <c r="F16" s="5"/>
      <c r="G16" s="5"/>
      <c r="H16" s="18" t="str">
        <f t="shared" si="0"/>
        <v/>
      </c>
      <c r="I16" s="13" t="str">
        <f t="shared" si="1"/>
        <v/>
      </c>
    </row>
    <row r="17" spans="1:9" x14ac:dyDescent="0.25">
      <c r="A17" s="19">
        <v>86</v>
      </c>
      <c r="B17" s="19" t="s">
        <v>141</v>
      </c>
      <c r="C17" s="20" t="str">
        <f>'Tabla Grupos'!B12</f>
        <v>Argentina</v>
      </c>
      <c r="D17" s="20" t="str">
        <f>'Tabla Grupos'!C10</f>
        <v>Cabo Verde</v>
      </c>
      <c r="E17" s="5"/>
      <c r="F17" s="5"/>
      <c r="G17" s="5"/>
      <c r="H17" s="18" t="str">
        <f t="shared" si="0"/>
        <v/>
      </c>
      <c r="I17" s="14" t="str">
        <f t="shared" si="1"/>
        <v/>
      </c>
    </row>
    <row r="18" spans="1:9" x14ac:dyDescent="0.25">
      <c r="A18" s="16">
        <v>87</v>
      </c>
      <c r="B18" s="16" t="s">
        <v>141</v>
      </c>
      <c r="C18" s="17" t="str">
        <f>'Tabla Grupos'!B13</f>
        <v>Portugal</v>
      </c>
      <c r="D18" s="21"/>
      <c r="E18" s="5"/>
      <c r="F18" s="5"/>
      <c r="G18" s="5"/>
      <c r="H18" s="18" t="str">
        <f t="shared" si="0"/>
        <v/>
      </c>
      <c r="I18" s="13" t="str">
        <f t="shared" si="1"/>
        <v/>
      </c>
    </row>
    <row r="19" spans="1:9" x14ac:dyDescent="0.25">
      <c r="A19" s="19">
        <v>88</v>
      </c>
      <c r="B19" s="19" t="s">
        <v>141</v>
      </c>
      <c r="C19" s="20" t="str">
        <f>'Tabla Grupos'!C6</f>
        <v>Paraguay</v>
      </c>
      <c r="D19" s="20" t="str">
        <f>'Tabla Grupos'!C9</f>
        <v>Egipto</v>
      </c>
      <c r="E19" s="5"/>
      <c r="F19" s="5"/>
      <c r="G19" s="5"/>
      <c r="H19" s="18" t="str">
        <f t="shared" si="0"/>
        <v/>
      </c>
      <c r="I19" s="14" t="str">
        <f t="shared" si="1"/>
        <v/>
      </c>
    </row>
    <row r="20" spans="1:9" x14ac:dyDescent="0.25">
      <c r="A20" s="16">
        <v>89</v>
      </c>
      <c r="B20" s="16" t="s">
        <v>142</v>
      </c>
      <c r="C20" s="17" t="str">
        <f>H5</f>
        <v/>
      </c>
      <c r="D20" s="17" t="str">
        <f>H8</f>
        <v/>
      </c>
      <c r="E20" s="5"/>
      <c r="F20" s="5"/>
      <c r="G20" s="5"/>
      <c r="H20" s="18" t="str">
        <f t="shared" si="0"/>
        <v/>
      </c>
      <c r="I20" s="13" t="str">
        <f t="shared" si="1"/>
        <v/>
      </c>
    </row>
    <row r="21" spans="1:9" x14ac:dyDescent="0.25">
      <c r="A21" s="19">
        <v>90</v>
      </c>
      <c r="B21" s="19" t="s">
        <v>142</v>
      </c>
      <c r="C21" s="20" t="str">
        <f>H4</f>
        <v/>
      </c>
      <c r="D21" s="20" t="str">
        <f>H6</f>
        <v/>
      </c>
      <c r="E21" s="5"/>
      <c r="F21" s="5"/>
      <c r="G21" s="5"/>
      <c r="H21" s="18" t="str">
        <f t="shared" si="0"/>
        <v/>
      </c>
      <c r="I21" s="14" t="str">
        <f t="shared" si="1"/>
        <v/>
      </c>
    </row>
    <row r="22" spans="1:9" x14ac:dyDescent="0.25">
      <c r="A22" s="16">
        <v>91</v>
      </c>
      <c r="B22" s="16" t="s">
        <v>142</v>
      </c>
      <c r="C22" s="17" t="str">
        <f>H7</f>
        <v/>
      </c>
      <c r="D22" s="17" t="str">
        <f>H9</f>
        <v/>
      </c>
      <c r="E22" s="5"/>
      <c r="F22" s="5"/>
      <c r="G22" s="5"/>
      <c r="H22" s="18" t="str">
        <f t="shared" si="0"/>
        <v/>
      </c>
      <c r="I22" s="13" t="str">
        <f t="shared" si="1"/>
        <v/>
      </c>
    </row>
    <row r="23" spans="1:9" x14ac:dyDescent="0.25">
      <c r="A23" s="19">
        <v>92</v>
      </c>
      <c r="B23" s="19" t="s">
        <v>142</v>
      </c>
      <c r="C23" s="20" t="str">
        <f>H10</f>
        <v/>
      </c>
      <c r="D23" s="20" t="str">
        <f>H11</f>
        <v/>
      </c>
      <c r="E23" s="5"/>
      <c r="F23" s="5"/>
      <c r="G23" s="5"/>
      <c r="H23" s="18" t="str">
        <f t="shared" si="0"/>
        <v/>
      </c>
      <c r="I23" s="14" t="str">
        <f t="shared" si="1"/>
        <v/>
      </c>
    </row>
    <row r="24" spans="1:9" x14ac:dyDescent="0.25">
      <c r="A24" s="16">
        <v>93</v>
      </c>
      <c r="B24" s="16" t="s">
        <v>142</v>
      </c>
      <c r="C24" s="17" t="str">
        <f>H14</f>
        <v/>
      </c>
      <c r="D24" s="17" t="str">
        <f>H15</f>
        <v/>
      </c>
      <c r="E24" s="5"/>
      <c r="F24" s="5"/>
      <c r="G24" s="5"/>
      <c r="H24" s="18" t="str">
        <f t="shared" si="0"/>
        <v/>
      </c>
      <c r="I24" s="13" t="str">
        <f t="shared" si="1"/>
        <v/>
      </c>
    </row>
    <row r="25" spans="1:9" x14ac:dyDescent="0.25">
      <c r="A25" s="19">
        <v>94</v>
      </c>
      <c r="B25" s="19" t="s">
        <v>142</v>
      </c>
      <c r="C25" s="20" t="str">
        <f>H12</f>
        <v/>
      </c>
      <c r="D25" s="20" t="str">
        <f>H13</f>
        <v/>
      </c>
      <c r="E25" s="5"/>
      <c r="F25" s="5"/>
      <c r="G25" s="5"/>
      <c r="H25" s="18" t="str">
        <f t="shared" si="0"/>
        <v/>
      </c>
      <c r="I25" s="14" t="str">
        <f t="shared" si="1"/>
        <v/>
      </c>
    </row>
    <row r="26" spans="1:9" x14ac:dyDescent="0.25">
      <c r="A26" s="16">
        <v>95</v>
      </c>
      <c r="B26" s="16" t="s">
        <v>142</v>
      </c>
      <c r="C26" s="17" t="str">
        <f>H17</f>
        <v/>
      </c>
      <c r="D26" s="17" t="str">
        <f>H19</f>
        <v/>
      </c>
      <c r="E26" s="5"/>
      <c r="F26" s="5"/>
      <c r="G26" s="5"/>
      <c r="H26" s="18" t="str">
        <f t="shared" si="0"/>
        <v/>
      </c>
      <c r="I26" s="13" t="str">
        <f t="shared" si="1"/>
        <v/>
      </c>
    </row>
    <row r="27" spans="1:9" x14ac:dyDescent="0.25">
      <c r="A27" s="19">
        <v>96</v>
      </c>
      <c r="B27" s="19" t="s">
        <v>142</v>
      </c>
      <c r="C27" s="20" t="str">
        <f>H16</f>
        <v/>
      </c>
      <c r="D27" s="20" t="str">
        <f>H18</f>
        <v/>
      </c>
      <c r="E27" s="5"/>
      <c r="F27" s="5"/>
      <c r="G27" s="5"/>
      <c r="H27" s="18" t="str">
        <f t="shared" si="0"/>
        <v/>
      </c>
      <c r="I27" s="14" t="str">
        <f t="shared" si="1"/>
        <v/>
      </c>
    </row>
    <row r="28" spans="1:9" x14ac:dyDescent="0.25">
      <c r="A28" s="16">
        <v>97</v>
      </c>
      <c r="B28" s="16" t="s">
        <v>143</v>
      </c>
      <c r="C28" s="17" t="str">
        <f>H20</f>
        <v/>
      </c>
      <c r="D28" s="17" t="str">
        <f>H21</f>
        <v/>
      </c>
      <c r="E28" s="5"/>
      <c r="F28" s="5"/>
      <c r="G28" s="5"/>
      <c r="H28" s="18" t="str">
        <f t="shared" si="0"/>
        <v/>
      </c>
      <c r="I28" s="13" t="str">
        <f t="shared" si="1"/>
        <v/>
      </c>
    </row>
    <row r="29" spans="1:9" x14ac:dyDescent="0.25">
      <c r="A29" s="19">
        <v>98</v>
      </c>
      <c r="B29" s="19" t="s">
        <v>143</v>
      </c>
      <c r="C29" s="20" t="str">
        <f>H24</f>
        <v/>
      </c>
      <c r="D29" s="20" t="str">
        <f>H25</f>
        <v/>
      </c>
      <c r="E29" s="5"/>
      <c r="F29" s="5"/>
      <c r="G29" s="5"/>
      <c r="H29" s="18" t="str">
        <f t="shared" si="0"/>
        <v/>
      </c>
      <c r="I29" s="14" t="str">
        <f t="shared" si="1"/>
        <v/>
      </c>
    </row>
    <row r="30" spans="1:9" x14ac:dyDescent="0.25">
      <c r="A30" s="16">
        <v>99</v>
      </c>
      <c r="B30" s="16" t="s">
        <v>143</v>
      </c>
      <c r="C30" s="17" t="str">
        <f>H22</f>
        <v/>
      </c>
      <c r="D30" s="17" t="str">
        <f>H23</f>
        <v/>
      </c>
      <c r="E30" s="5"/>
      <c r="F30" s="5"/>
      <c r="G30" s="5"/>
      <c r="H30" s="18" t="str">
        <f t="shared" si="0"/>
        <v/>
      </c>
      <c r="I30" s="13" t="str">
        <f t="shared" si="1"/>
        <v/>
      </c>
    </row>
    <row r="31" spans="1:9" x14ac:dyDescent="0.25">
      <c r="A31" s="19">
        <v>100</v>
      </c>
      <c r="B31" s="19" t="s">
        <v>143</v>
      </c>
      <c r="C31" s="20" t="str">
        <f>H26</f>
        <v/>
      </c>
      <c r="D31" s="20" t="str">
        <f>H27</f>
        <v/>
      </c>
      <c r="E31" s="5"/>
      <c r="F31" s="5"/>
      <c r="G31" s="5"/>
      <c r="H31" s="18" t="str">
        <f t="shared" si="0"/>
        <v/>
      </c>
      <c r="I31" s="14" t="str">
        <f t="shared" si="1"/>
        <v/>
      </c>
    </row>
    <row r="32" spans="1:9" x14ac:dyDescent="0.25">
      <c r="A32" s="16">
        <v>101</v>
      </c>
      <c r="B32" s="16" t="s">
        <v>144</v>
      </c>
      <c r="C32" s="17" t="str">
        <f>H28</f>
        <v/>
      </c>
      <c r="D32" s="17" t="str">
        <f>H29</f>
        <v/>
      </c>
      <c r="E32" s="5"/>
      <c r="F32" s="5"/>
      <c r="G32" s="5"/>
      <c r="H32" s="18" t="str">
        <f t="shared" si="0"/>
        <v/>
      </c>
      <c r="I32" s="13" t="str">
        <f t="shared" si="1"/>
        <v/>
      </c>
    </row>
    <row r="33" spans="1:9" x14ac:dyDescent="0.25">
      <c r="A33" s="19">
        <v>102</v>
      </c>
      <c r="B33" s="19" t="s">
        <v>144</v>
      </c>
      <c r="C33" s="20" t="str">
        <f>H30</f>
        <v/>
      </c>
      <c r="D33" s="20" t="str">
        <f>H31</f>
        <v/>
      </c>
      <c r="E33" s="5"/>
      <c r="F33" s="5"/>
      <c r="G33" s="5"/>
      <c r="H33" s="18" t="str">
        <f t="shared" si="0"/>
        <v/>
      </c>
      <c r="I33" s="14" t="str">
        <f t="shared" si="1"/>
        <v/>
      </c>
    </row>
    <row r="34" spans="1:9" x14ac:dyDescent="0.25">
      <c r="A34" s="16">
        <v>103</v>
      </c>
      <c r="B34" s="16" t="s">
        <v>145</v>
      </c>
      <c r="C34" s="17" t="str">
        <f>I32</f>
        <v/>
      </c>
      <c r="D34" s="17" t="str">
        <f>I33</f>
        <v/>
      </c>
      <c r="E34" s="5"/>
      <c r="F34" s="5"/>
      <c r="G34" s="5"/>
      <c r="H34" s="18" t="str">
        <f t="shared" si="0"/>
        <v/>
      </c>
      <c r="I34" s="13" t="str">
        <f t="shared" si="1"/>
        <v/>
      </c>
    </row>
    <row r="35" spans="1:9" x14ac:dyDescent="0.25">
      <c r="A35" s="19">
        <v>104</v>
      </c>
      <c r="B35" s="19" t="s">
        <v>146</v>
      </c>
      <c r="C35" s="20" t="str">
        <f>H32</f>
        <v/>
      </c>
      <c r="D35" s="20" t="str">
        <f>H33</f>
        <v/>
      </c>
      <c r="E35" s="5"/>
      <c r="F35" s="5"/>
      <c r="G35" s="5"/>
      <c r="H35" s="18" t="str">
        <f t="shared" si="0"/>
        <v/>
      </c>
      <c r="I35" s="14" t="str">
        <f t="shared" si="1"/>
        <v/>
      </c>
    </row>
  </sheetData>
  <mergeCells count="2">
    <mergeCell ref="A1:I1"/>
    <mergeCell ref="A2:I2"/>
  </mergeCells>
  <conditionalFormatting sqref="G4:G35">
    <cfRule type="expression" dxfId="1" priority="1">
      <formula>AND(E4&lt;&gt;"",F4&lt;&gt;"",E4=F4)</formula>
    </cfRule>
    <cfRule type="expression" dxfId="0" priority="2">
      <formula>OR(E4="",F4="",E4&lt;&gt;F4)</formula>
    </cfRule>
  </conditionalFormatting>
  <dataValidations count="1">
    <dataValidation type="list" allowBlank="1" errorTitle="Valor no válido" error="Escribe 1 (gana Equipo 1) ó 2 (gana Equipo 2)" promptTitle="Ganador por penales" prompt="Solo si el partido termina empatado: 1 = gana Equipo 1, 2 = gana Equipo 2" sqref="G4:G35" xr:uid="{00000000-0002-0000-0400-000000000000}">
      <formula1>"1,2"</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91E63"/>
  </sheetPr>
  <dimension ref="A1:B9"/>
  <sheetViews>
    <sheetView showGridLines="0" workbookViewId="0"/>
  </sheetViews>
  <sheetFormatPr baseColWidth="10" defaultColWidth="9.140625" defaultRowHeight="15" x14ac:dyDescent="0.25"/>
  <cols>
    <col min="1" max="1" width="18" customWidth="1"/>
    <col min="2" max="2" width="30" customWidth="1"/>
  </cols>
  <sheetData>
    <row r="1" spans="1:2" ht="26.1" customHeight="1" x14ac:dyDescent="0.25">
      <c r="A1" s="32" t="s">
        <v>147</v>
      </c>
      <c r="B1" s="27"/>
    </row>
    <row r="3" spans="1:2" x14ac:dyDescent="0.25">
      <c r="A3" s="22" t="s">
        <v>148</v>
      </c>
      <c r="B3" s="23" t="str">
        <f>IF(Eliminatorias!H35="","Pendiente",Eliminatorias!H35)</f>
        <v>Pendiente</v>
      </c>
    </row>
    <row r="4" spans="1:2" x14ac:dyDescent="0.25">
      <c r="A4" s="22" t="s">
        <v>149</v>
      </c>
      <c r="B4" s="23" t="str">
        <f>IF(Eliminatorias!I35="","Pendiente",Eliminatorias!I35)</f>
        <v>Pendiente</v>
      </c>
    </row>
    <row r="5" spans="1:2" x14ac:dyDescent="0.25">
      <c r="A5" s="22" t="s">
        <v>150</v>
      </c>
      <c r="B5" s="23" t="str">
        <f>IF(Eliminatorias!H34="","Pendiente",Eliminatorias!H34)</f>
        <v>Pendiente</v>
      </c>
    </row>
    <row r="7" spans="1:2" x14ac:dyDescent="0.25">
      <c r="A7" s="35" t="s">
        <v>151</v>
      </c>
      <c r="B7" s="27"/>
    </row>
    <row r="8" spans="1:2" x14ac:dyDescent="0.25">
      <c r="A8" s="27"/>
      <c r="B8" s="27"/>
    </row>
    <row r="9" spans="1:2" x14ac:dyDescent="0.25">
      <c r="A9" s="27"/>
      <c r="B9" s="27"/>
    </row>
  </sheetData>
  <mergeCells count="2">
    <mergeCell ref="A7:B9"/>
    <mergeCell ref="A1: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E9E9E"/>
  </sheetPr>
  <dimension ref="A1:E14"/>
  <sheetViews>
    <sheetView showGridLines="0" workbookViewId="0"/>
  </sheetViews>
  <sheetFormatPr baseColWidth="10" defaultColWidth="9.140625" defaultRowHeight="15" x14ac:dyDescent="0.25"/>
  <cols>
    <col min="1" max="5" width="22" customWidth="1"/>
  </cols>
  <sheetData>
    <row r="1" spans="1:5" ht="26.1" customHeight="1" x14ac:dyDescent="0.25">
      <c r="A1" s="32" t="s">
        <v>152</v>
      </c>
      <c r="B1" s="27"/>
      <c r="C1" s="27"/>
      <c r="D1" s="27"/>
      <c r="E1" s="27"/>
    </row>
    <row r="2" spans="1:5" x14ac:dyDescent="0.25">
      <c r="A2" s="2" t="s">
        <v>37</v>
      </c>
      <c r="B2" s="2" t="s">
        <v>134</v>
      </c>
      <c r="C2" s="2" t="s">
        <v>135</v>
      </c>
      <c r="D2" s="2" t="s">
        <v>153</v>
      </c>
      <c r="E2" s="2" t="s">
        <v>154</v>
      </c>
    </row>
    <row r="3" spans="1:5" x14ac:dyDescent="0.25">
      <c r="A3" s="8" t="s">
        <v>112</v>
      </c>
      <c r="B3" s="4" t="s">
        <v>43</v>
      </c>
      <c r="C3" s="4" t="s">
        <v>44</v>
      </c>
      <c r="D3" s="4" t="s">
        <v>45</v>
      </c>
      <c r="E3" s="4" t="s">
        <v>46</v>
      </c>
    </row>
    <row r="4" spans="1:5" x14ac:dyDescent="0.25">
      <c r="A4" s="8" t="s">
        <v>113</v>
      </c>
      <c r="B4" s="7" t="s">
        <v>48</v>
      </c>
      <c r="C4" s="7" t="s">
        <v>49</v>
      </c>
      <c r="D4" s="7" t="s">
        <v>50</v>
      </c>
      <c r="E4" s="7" t="s">
        <v>51</v>
      </c>
    </row>
    <row r="5" spans="1:5" x14ac:dyDescent="0.25">
      <c r="A5" s="8" t="s">
        <v>114</v>
      </c>
      <c r="B5" s="4" t="s">
        <v>53</v>
      </c>
      <c r="C5" s="4" t="s">
        <v>54</v>
      </c>
      <c r="D5" s="4" t="s">
        <v>55</v>
      </c>
      <c r="E5" s="4" t="s">
        <v>56</v>
      </c>
    </row>
    <row r="6" spans="1:5" x14ac:dyDescent="0.25">
      <c r="A6" s="8" t="s">
        <v>115</v>
      </c>
      <c r="B6" s="7" t="s">
        <v>58</v>
      </c>
      <c r="C6" s="7" t="s">
        <v>59</v>
      </c>
      <c r="D6" s="7" t="s">
        <v>60</v>
      </c>
      <c r="E6" s="7" t="s">
        <v>61</v>
      </c>
    </row>
    <row r="7" spans="1:5" x14ac:dyDescent="0.25">
      <c r="A7" s="8" t="s">
        <v>116</v>
      </c>
      <c r="B7" s="4" t="s">
        <v>63</v>
      </c>
      <c r="C7" s="4" t="s">
        <v>64</v>
      </c>
      <c r="D7" s="4" t="s">
        <v>65</v>
      </c>
      <c r="E7" s="4" t="s">
        <v>66</v>
      </c>
    </row>
    <row r="8" spans="1:5" x14ac:dyDescent="0.25">
      <c r="A8" s="8" t="s">
        <v>117</v>
      </c>
      <c r="B8" s="7" t="s">
        <v>68</v>
      </c>
      <c r="C8" s="7" t="s">
        <v>69</v>
      </c>
      <c r="D8" s="7" t="s">
        <v>70</v>
      </c>
      <c r="E8" s="7" t="s">
        <v>71</v>
      </c>
    </row>
    <row r="9" spans="1:5" x14ac:dyDescent="0.25">
      <c r="A9" s="8" t="s">
        <v>118</v>
      </c>
      <c r="B9" s="4" t="s">
        <v>73</v>
      </c>
      <c r="C9" s="4" t="s">
        <v>74</v>
      </c>
      <c r="D9" s="4" t="s">
        <v>75</v>
      </c>
      <c r="E9" s="4" t="s">
        <v>76</v>
      </c>
    </row>
    <row r="10" spans="1:5" x14ac:dyDescent="0.25">
      <c r="A10" s="8" t="s">
        <v>119</v>
      </c>
      <c r="B10" s="7" t="s">
        <v>78</v>
      </c>
      <c r="C10" s="7" t="s">
        <v>79</v>
      </c>
      <c r="D10" s="7" t="s">
        <v>80</v>
      </c>
      <c r="E10" s="7" t="s">
        <v>81</v>
      </c>
    </row>
    <row r="11" spans="1:5" x14ac:dyDescent="0.25">
      <c r="A11" s="8" t="s">
        <v>120</v>
      </c>
      <c r="B11" s="4" t="s">
        <v>83</v>
      </c>
      <c r="C11" s="4" t="s">
        <v>84</v>
      </c>
      <c r="D11" s="4" t="s">
        <v>85</v>
      </c>
      <c r="E11" s="4" t="s">
        <v>86</v>
      </c>
    </row>
    <row r="12" spans="1:5" x14ac:dyDescent="0.25">
      <c r="A12" s="8" t="s">
        <v>121</v>
      </c>
      <c r="B12" s="7" t="s">
        <v>88</v>
      </c>
      <c r="C12" s="7" t="s">
        <v>89</v>
      </c>
      <c r="D12" s="7" t="s">
        <v>90</v>
      </c>
      <c r="E12" s="7" t="s">
        <v>91</v>
      </c>
    </row>
    <row r="13" spans="1:5" x14ac:dyDescent="0.25">
      <c r="A13" s="8" t="s">
        <v>122</v>
      </c>
      <c r="B13" s="4" t="s">
        <v>93</v>
      </c>
      <c r="C13" s="4" t="s">
        <v>94</v>
      </c>
      <c r="D13" s="4" t="s">
        <v>95</v>
      </c>
      <c r="E13" s="4" t="s">
        <v>96</v>
      </c>
    </row>
    <row r="14" spans="1:5" x14ac:dyDescent="0.25">
      <c r="A14" s="8" t="s">
        <v>123</v>
      </c>
      <c r="B14" s="7" t="s">
        <v>98</v>
      </c>
      <c r="C14" s="7" t="s">
        <v>99</v>
      </c>
      <c r="D14" s="7" t="s">
        <v>100</v>
      </c>
      <c r="E14" s="7" t="s">
        <v>101</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Inicio</vt:lpstr>
      <vt:lpstr>Datos</vt:lpstr>
      <vt:lpstr>Fase de Grupos</vt:lpstr>
      <vt:lpstr>Tabla Grupos</vt:lpstr>
      <vt:lpstr>Eliminatorias</vt:lpstr>
      <vt:lpstr>Podio</vt:lpstr>
      <vt:lpstr>Grupos (referencia)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Villa</cp:lastModifiedBy>
  <dcterms:created xsi:type="dcterms:W3CDTF">2026-06-11T19:02:16Z</dcterms:created>
  <dcterms:modified xsi:type="dcterms:W3CDTF">2026-06-11T21:16:16Z</dcterms:modified>
</cp:coreProperties>
</file>